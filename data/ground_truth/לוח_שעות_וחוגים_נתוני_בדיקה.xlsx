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לוח_שעות" sheetId="2" state="visible" r:id="rId4"/>
    <sheet name="בדיקות_צפויות" sheetId="3" state="visible" r:id="rId5"/>
    <sheet name="מחירונים" sheetId="4" state="visible" r:id="rId6"/>
    <sheet name="שעות_פתיחה" sheetId="5" state="visible" r:id="rId7"/>
    <sheet name="מקור_פענוח_גולמי" sheetId="6" state="visible" r:id="rId8"/>
  </sheets>
  <definedNames>
    <definedName function="false" hidden="true" localSheetId="1" name="_xlnm._FilterDatabase" vbProcedure="false">לוח_שעות!$A$1:$R$87</definedName>
    <definedName function="false" hidden="true" localSheetId="3" name="_xlnm._FilterDatabase" vbProcedure="false">מחירונים!$A$1:$E$30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<sst xmlns="http://schemas.openxmlformats.org/spreadsheetml/2006/main" count="1681" uniqueCount="459">
  <si>
    <t xml:space="preserve">ערכת נתוני בדיקה – מסמכי מרכזי ספורט ומתנ"סים</t>
  </si>
  <si>
    <t xml:space="preserve">הקבצים נוצרו כדי לבדוק סוכן שמחלץ חוגים, שעות ומחירים ממסמכי Word. הגיליון "לוח_שעות" הוא ה-Ground Truth: הפלט הנכון שהסוכן אמור להפיק.</t>
  </si>
  <si>
    <t xml:space="preserve">קובץ</t>
  </si>
  <si>
    <t xml:space="preserve">מרכז</t>
  </si>
  <si>
    <t xml:space="preserve">סגנון המסמך</t>
  </si>
  <si>
    <t xml:space="preserve">מה הוא בודק</t>
  </si>
  <si>
    <t xml:space="preserve">01_מרכז_ספורט_הדס_בסיסי.docx</t>
  </si>
  <si>
    <t xml:space="preserve">מרכז הספורט "הדס"</t>
  </si>
  <si>
    <t xml:space="preserve">freetext</t>
  </si>
  <si>
    <t xml:space="preserve">מבנה זהה כמעט למקור – טקסט חופשי, שיעורי בוקר/ערב. מקרה בסיס (happy path).</t>
  </si>
  <si>
    <t xml:space="preserve">02_מרכז_ספורט_אלונים_טבלה.docx</t>
  </si>
  <si>
    <t xml:space="preserve">מרכז ספורט "אלונים"</t>
  </si>
  <si>
    <t xml:space="preserve">grid</t>
  </si>
  <si>
    <t xml:space="preserve">לוח השעות כטבלת Word אמיתית (ימים בעמודות, משבצות שעה בשורות). בודק חילוץ מטבלאות.</t>
  </si>
  <si>
    <t xml:space="preserve">03_מרכז_כושר_נופים_מלוכלך.docx</t>
  </si>
  <si>
    <t xml:space="preserve">מרכז הכושר "נופים"</t>
  </si>
  <si>
    <t xml:space="preserve">messy</t>
  </si>
  <si>
    <t xml:space="preserve">קובץ 'מלוכלך': שגיאות כתיב, פורמטי שעה מעורבים, מדריכים חסרים, כפילות, שיעור מבוטל, מחירים בפורמטים שונים.</t>
  </si>
  <si>
    <t xml:space="preserve">04_Neve_Sport_Center_bilingual.docx</t>
  </si>
  <si>
    <t xml:space="preserve">Neve Sport Center / מרכז הספורט "נווה"</t>
  </si>
  <si>
    <t xml:space="preserve">bilingual</t>
  </si>
  <si>
    <t xml:space="preserve">דו-לשוני עברית/אנגלית, שעות בפורמט 12 שעות (AM/PM), שמות ימים באנגלית. בודק זיהוי שפה ופורמט שעה.</t>
  </si>
  <si>
    <t xml:space="preserve">05_מרכז_ספורט_מעיין_לפי_חוג.docx</t>
  </si>
  <si>
    <t xml:space="preserve">מרכז ספורט "מעיין"</t>
  </si>
  <si>
    <t xml:space="preserve">bycourse</t>
  </si>
  <si>
    <t xml:space="preserve">הלוח מאורגן לפי חוג ולא לפי יום (כל חוג = כותרת + רשימת מפגשים). בודק צורת חילוץ הפוכה.</t>
  </si>
  <si>
    <t xml:space="preserve">06_מרכז_ספורט_גלים_מקרי_קצה.docx</t>
  </si>
  <si>
    <t xml:space="preserve">מרכז הספורט "גלים"</t>
  </si>
  <si>
    <t xml:space="preserve">edge</t>
  </si>
  <si>
    <t xml:space="preserve">מקרי קצה: שני סניפים, שעות קיץ/חורף, תאריכי התחלה, סגירות חג, מגבלות קיבולת, שני מדריכים, התנגשות אולמות.</t>
  </si>
  <si>
    <t xml:space="preserve">מילון עמודות – גיליון "לוח_שעות"</t>
  </si>
  <si>
    <t xml:space="preserve">יום / שעת_התחלה / שעת_סיום</t>
  </si>
  <si>
    <t xml:space="preserve">הערך המנורמל שהסוכן אמור להחזיר (שעה בפורמט HH:MM, יום בעברית).</t>
  </si>
  <si>
    <t xml:space="preserve">יום_בקובץ / שעה_בקובץ / שם_בקובץ</t>
  </si>
  <si>
    <t xml:space="preserve">הצורה הגולמית שבה הערך מופיע במסמך המקור (למשל "9.00", "7:40 AM", "פילטיס").</t>
  </si>
  <si>
    <t xml:space="preserve">משך_דקות / תקופה</t>
  </si>
  <si>
    <t xml:space="preserve">שדות מחושבים בנוסחה מתוך שעות ההתחלה והסיום.</t>
  </si>
  <si>
    <t xml:space="preserve">מלכודת_בדיקה</t>
  </si>
  <si>
    <t xml:space="preserve">תיאור הקושי המכוון בשורה. שורה ריקה = מקרה פשוט.</t>
  </si>
  <si>
    <t xml:space="preserve">שים לב</t>
  </si>
  <si>
    <t xml:space="preserve">כל השמות, הכתובות, הטלפונים והמחירים בדויים ונועדו לבדיקה בלבד. הגיליון "מקור_פענוח_גולמי" הוא פענוח ידני של הקובץ שהעלית ודורש אימות – הוא אינו Ground Truth.</t>
  </si>
  <si>
    <t xml:space="preserve">קובץ_מקור</t>
  </si>
  <si>
    <t xml:space="preserve">מזהה_מרכז</t>
  </si>
  <si>
    <t xml:space="preserve">שם_המרכז</t>
  </si>
  <si>
    <t xml:space="preserve">יום</t>
  </si>
  <si>
    <t xml:space="preserve">יום_בקובץ</t>
  </si>
  <si>
    <t xml:space="preserve">שעת_התחלה</t>
  </si>
  <si>
    <t xml:space="preserve">שעת_סיום</t>
  </si>
  <si>
    <t xml:space="preserve">משך_דקות</t>
  </si>
  <si>
    <t xml:space="preserve">תקופה</t>
  </si>
  <si>
    <t xml:space="preserve">שעה_בקובץ</t>
  </si>
  <si>
    <t xml:space="preserve">שם_החוג</t>
  </si>
  <si>
    <t xml:space="preserve">שם_בקובץ</t>
  </si>
  <si>
    <t xml:space="preserve">שם_באנגלית</t>
  </si>
  <si>
    <t xml:space="preserve">מדריך</t>
  </si>
  <si>
    <t xml:space="preserve">אולם</t>
  </si>
  <si>
    <t xml:space="preserve">קהל_יעד</t>
  </si>
  <si>
    <t xml:space="preserve">הערות</t>
  </si>
  <si>
    <t xml:space="preserve">hadas</t>
  </si>
  <si>
    <t xml:space="preserve">ראשון</t>
  </si>
  <si>
    <t xml:space="preserve">08:00</t>
  </si>
  <si>
    <t xml:space="preserve">08:50</t>
  </si>
  <si>
    <t xml:space="preserve">08:00-08:50</t>
  </si>
  <si>
    <t xml:space="preserve">התעמלות מתונה</t>
  </si>
  <si>
    <t xml:space="preserve">אורלי</t>
  </si>
  <si>
    <t xml:space="preserve">אולם ספורט</t>
  </si>
  <si>
    <t xml:space="preserve">נשים</t>
  </si>
  <si>
    <t xml:space="preserve">09:00</t>
  </si>
  <si>
    <t xml:space="preserve">09:50</t>
  </si>
  <si>
    <t xml:space="preserve">09:00-09:50</t>
  </si>
  <si>
    <t xml:space="preserve">עיצוב וחיזוק</t>
  </si>
  <si>
    <t xml:space="preserve">מיכל</t>
  </si>
  <si>
    <t xml:space="preserve">גם לגברים</t>
  </si>
  <si>
    <t xml:space="preserve">18:00</t>
  </si>
  <si>
    <t xml:space="preserve">18:50</t>
  </si>
  <si>
    <t xml:space="preserve">18:00-18:50</t>
  </si>
  <si>
    <t xml:space="preserve">פילאטיס</t>
  </si>
  <si>
    <t xml:space="preserve">שירה</t>
  </si>
  <si>
    <t xml:space="preserve">סטודיו תחתון</t>
  </si>
  <si>
    <t xml:space="preserve">19:00</t>
  </si>
  <si>
    <t xml:space="preserve">19:50</t>
  </si>
  <si>
    <t xml:space="preserve">19:00-19:50</t>
  </si>
  <si>
    <t xml:space="preserve">זומבה</t>
  </si>
  <si>
    <t xml:space="preserve">נועה</t>
  </si>
  <si>
    <t xml:space="preserve">סטודיו עליון</t>
  </si>
  <si>
    <t xml:space="preserve">שני</t>
  </si>
  <si>
    <t xml:space="preserve">07:40</t>
  </si>
  <si>
    <t xml:space="preserve">08:30</t>
  </si>
  <si>
    <t xml:space="preserve">07:40-08:30</t>
  </si>
  <si>
    <t xml:space="preserve">יוגה</t>
  </si>
  <si>
    <t xml:space="preserve">תניא</t>
  </si>
  <si>
    <t xml:space="preserve">ספורט כייף</t>
  </si>
  <si>
    <t xml:space="preserve">17:30</t>
  </si>
  <si>
    <t xml:space="preserve">18:20</t>
  </si>
  <si>
    <t xml:space="preserve">17:30-18:20</t>
  </si>
  <si>
    <t xml:space="preserve">עיצוב קל</t>
  </si>
  <si>
    <t xml:space="preserve">דנה</t>
  </si>
  <si>
    <t xml:space="preserve">ספינינג</t>
  </si>
  <si>
    <t xml:space="preserve">גל</t>
  </si>
  <si>
    <t xml:space="preserve">חדר ספינינג</t>
  </si>
  <si>
    <t xml:space="preserve">שלישי</t>
  </si>
  <si>
    <t xml:space="preserve">09:20</t>
  </si>
  <si>
    <t xml:space="preserve">08:30-09:20</t>
  </si>
  <si>
    <t xml:space="preserve">18:30</t>
  </si>
  <si>
    <t xml:space="preserve">19:20</t>
  </si>
  <si>
    <t xml:space="preserve">18:30-19:20</t>
  </si>
  <si>
    <t xml:space="preserve">אימון פונקציונלי</t>
  </si>
  <si>
    <t xml:space="preserve">אבי</t>
  </si>
  <si>
    <t xml:space="preserve">רביעי</t>
  </si>
  <si>
    <t xml:space="preserve">09:15</t>
  </si>
  <si>
    <t xml:space="preserve">10:00</t>
  </si>
  <si>
    <t xml:space="preserve">09:15-10:00</t>
  </si>
  <si>
    <t xml:space="preserve">התעמלות במים</t>
  </si>
  <si>
    <t xml:space="preserve">זויה</t>
  </si>
  <si>
    <t xml:space="preserve">בריכה</t>
  </si>
  <si>
    <t xml:space="preserve">19:10</t>
  </si>
  <si>
    <t xml:space="preserve">20:00</t>
  </si>
  <si>
    <t xml:space="preserve">19:10-20:00</t>
  </si>
  <si>
    <t xml:space="preserve">משה</t>
  </si>
  <si>
    <t xml:space="preserve">חמישי</t>
  </si>
  <si>
    <t xml:space="preserve">18:05</t>
  </si>
  <si>
    <t xml:space="preserve">18:55</t>
  </si>
  <si>
    <t xml:space="preserve">18:05-18:55</t>
  </si>
  <si>
    <t xml:space="preserve">בטן גב ועמוד שדרה</t>
  </si>
  <si>
    <t xml:space="preserve">שישי</t>
  </si>
  <si>
    <t xml:space="preserve">רויטל</t>
  </si>
  <si>
    <t xml:space="preserve">alonim</t>
  </si>
  <si>
    <t xml:space="preserve">08:55</t>
  </si>
  <si>
    <t xml:space="preserve">08:00-08:55</t>
  </si>
  <si>
    <t xml:space="preserve">חנה</t>
  </si>
  <si>
    <t xml:space="preserve">09:10</t>
  </si>
  <si>
    <t xml:space="preserve">10:05</t>
  </si>
  <si>
    <t xml:space="preserve">09:10-10:05</t>
  </si>
  <si>
    <t xml:space="preserve">קרן</t>
  </si>
  <si>
    <t xml:space="preserve">סטודיו א'</t>
  </si>
  <si>
    <t xml:space="preserve">18:25</t>
  </si>
  <si>
    <t xml:space="preserve">17:30-18:25</t>
  </si>
  <si>
    <t xml:space="preserve">עיצוב</t>
  </si>
  <si>
    <t xml:space="preserve">עדי</t>
  </si>
  <si>
    <t xml:space="preserve">18:40</t>
  </si>
  <si>
    <t xml:space="preserve">19:35</t>
  </si>
  <si>
    <t xml:space="preserve">18:40-19:35</t>
  </si>
  <si>
    <t xml:space="preserve">סטודיו ב'</t>
  </si>
  <si>
    <t xml:space="preserve">יוגה מתחילים</t>
  </si>
  <si>
    <t xml:space="preserve">20:45</t>
  </si>
  <si>
    <t xml:space="preserve">19:50-20:45</t>
  </si>
  <si>
    <t xml:space="preserve">אינדי</t>
  </si>
  <si>
    <t xml:space="preserve">פלדנקרייז</t>
  </si>
  <si>
    <t xml:space="preserve">הילה</t>
  </si>
  <si>
    <t xml:space="preserve">TRX</t>
  </si>
  <si>
    <t xml:space="preserve">חדר כושר</t>
  </si>
  <si>
    <t xml:space="preserve">שם חוג לועזי בתוך טקסט עברי</t>
  </si>
  <si>
    <t xml:space="preserve">09:55</t>
  </si>
  <si>
    <t xml:space="preserve">09:10-09:55</t>
  </si>
  <si>
    <t xml:space="preserve">אקווה אירובי</t>
  </si>
  <si>
    <t xml:space="preserve">21:00</t>
  </si>
  <si>
    <t xml:space="preserve">19:50-21:00</t>
  </si>
  <si>
    <t xml:space="preserve">ריקודי עם</t>
  </si>
  <si>
    <t xml:space="preserve">יוסי</t>
  </si>
  <si>
    <t xml:space="preserve">שיעור באורך חריג (70 דק')</t>
  </si>
  <si>
    <t xml:space="preserve">nofim</t>
  </si>
  <si>
    <t xml:space="preserve">8.00</t>
  </si>
  <si>
    <t xml:space="preserve">התעמלות מתונהה</t>
  </si>
  <si>
    <t xml:space="preserve">רחלי</t>
  </si>
  <si>
    <t xml:space="preserve">אין שעת סיום</t>
  </si>
  <si>
    <t xml:space="preserve">פילטיס</t>
  </si>
  <si>
    <t xml:space="preserve">ליאת</t>
  </si>
  <si>
    <t xml:space="preserve">שגיאת כתיב בשם החוג (פילטיס)</t>
  </si>
  <si>
    <t xml:space="preserve">18:00-19:00</t>
  </si>
  <si>
    <t xml:space="preserve">שם מדריכה חסר – 'יתעדכן'</t>
  </si>
  <si>
    <t xml:space="preserve">7:40</t>
  </si>
  <si>
    <t xml:space="preserve">התעמלות  מתונה</t>
  </si>
  <si>
    <t xml:space="preserve">רווחים כפולים בשורה</t>
  </si>
  <si>
    <t xml:space="preserve">19.10</t>
  </si>
  <si>
    <t xml:space="preserve">סיון</t>
  </si>
  <si>
    <t xml:space="preserve">פורמט שעה עם נקודה</t>
  </si>
  <si>
    <t xml:space="preserve">20:10</t>
  </si>
  <si>
    <t xml:space="preserve">יוגה - בוטל!!</t>
  </si>
  <si>
    <t xml:space="preserve">מבוטל עד להודעה חדשה</t>
  </si>
  <si>
    <t xml:space="preserve">שיעור מבוטל – לא אמור להיכנס ללוח פעיל</t>
  </si>
  <si>
    <t xml:space="preserve">08.30</t>
  </si>
  <si>
    <t xml:space="preserve">17:00</t>
  </si>
  <si>
    <t xml:space="preserve">17:00 – 18:00</t>
  </si>
  <si>
    <t xml:space="preserve">טווח שעות עם מקף ארוך (–)</t>
  </si>
  <si>
    <t xml:space="preserve">17:00-18:00</t>
  </si>
  <si>
    <t xml:space="preserve">שורה כפולה בקובץ המקור</t>
  </si>
  <si>
    <t xml:space="preserve">כפילות מכוונת – יש לזהות ולאחד</t>
  </si>
  <si>
    <t xml:space="preserve">19:30</t>
  </si>
  <si>
    <t xml:space="preserve">קיקבוקס</t>
  </si>
  <si>
    <t xml:space="preserve">אולם לא צוין</t>
  </si>
  <si>
    <t xml:space="preserve">9:00</t>
  </si>
  <si>
    <t xml:space="preserve">7:00 בערב</t>
  </si>
  <si>
    <t xml:space="preserve">עיצוב דינמי</t>
  </si>
  <si>
    <t xml:space="preserve">neve</t>
  </si>
  <si>
    <t xml:space="preserve">Sunday</t>
  </si>
  <si>
    <t xml:space="preserve">7:40 AM - 8:30 AM</t>
  </si>
  <si>
    <t xml:space="preserve">Gentle Gymnastics / התעמלות מתונה</t>
  </si>
  <si>
    <t xml:space="preserve">Gentle Gymnastics</t>
  </si>
  <si>
    <t xml:space="preserve">Ora</t>
  </si>
  <si>
    <t xml:space="preserve">Main Hall</t>
  </si>
  <si>
    <t xml:space="preserve">Women only</t>
  </si>
  <si>
    <t xml:space="preserve">שעה בפורמט 12 שעות</t>
  </si>
  <si>
    <t xml:space="preserve">9:00 AM - 9:50 AM</t>
  </si>
  <si>
    <t xml:space="preserve">Pilates / פילאטיס</t>
  </si>
  <si>
    <t xml:space="preserve">Pilates</t>
  </si>
  <si>
    <t xml:space="preserve">Revital</t>
  </si>
  <si>
    <t xml:space="preserve">Studio 1</t>
  </si>
  <si>
    <t xml:space="preserve">Mixed</t>
  </si>
  <si>
    <t xml:space="preserve">6:05 PM - 6:55 PM</t>
  </si>
  <si>
    <t xml:space="preserve">יוגה זורמת</t>
  </si>
  <si>
    <t xml:space="preserve">Yoga Flow / יוגה זורמת</t>
  </si>
  <si>
    <t xml:space="preserve">Yoga Flow</t>
  </si>
  <si>
    <t xml:space="preserve">Tania</t>
  </si>
  <si>
    <t xml:space="preserve">Studio 2</t>
  </si>
  <si>
    <t xml:space="preserve">Monday</t>
  </si>
  <si>
    <t xml:space="preserve">8:30 AM - 9:20 AM</t>
  </si>
  <si>
    <t xml:space="preserve">Spinning / ספינינג</t>
  </si>
  <si>
    <t xml:space="preserve">Spinning</t>
  </si>
  <si>
    <t xml:space="preserve">Gal</t>
  </si>
  <si>
    <t xml:space="preserve">Spinning Room</t>
  </si>
  <si>
    <t xml:space="preserve">Beginners briefing 8:15-8:30</t>
  </si>
  <si>
    <t xml:space="preserve">הערה על תדריך למתחילים בתוך התא</t>
  </si>
  <si>
    <t xml:space="preserve">7:10 PM - 8:00 PM</t>
  </si>
  <si>
    <t xml:space="preserve">Zumba / זומבה</t>
  </si>
  <si>
    <t xml:space="preserve">Zumba</t>
  </si>
  <si>
    <t xml:space="preserve">Indy</t>
  </si>
  <si>
    <t xml:space="preserve">Tuesday</t>
  </si>
  <si>
    <t xml:space="preserve">9:15 AM - 10:00 AM</t>
  </si>
  <si>
    <t xml:space="preserve">Aqua Aerobics / התעמלות במים</t>
  </si>
  <si>
    <t xml:space="preserve">Aqua Aerobics</t>
  </si>
  <si>
    <t xml:space="preserve">Zoya</t>
  </si>
  <si>
    <t xml:space="preserve">Pool</t>
  </si>
  <si>
    <t xml:space="preserve">6:30 PM - 7:20 PM</t>
  </si>
  <si>
    <t xml:space="preserve">אימון עצימות גבוהה</t>
  </si>
  <si>
    <t xml:space="preserve">HIIT / אימון עצימות גבוהה</t>
  </si>
  <si>
    <t xml:space="preserve">HIIT</t>
  </si>
  <si>
    <t xml:space="preserve">Avi</t>
  </si>
  <si>
    <t xml:space="preserve">Age 16+</t>
  </si>
  <si>
    <t xml:space="preserve">הגבלת גיל באנגלית</t>
  </si>
  <si>
    <t xml:space="preserve">Wednesday</t>
  </si>
  <si>
    <t xml:space="preserve">7:00 PM - 7:50 PM</t>
  </si>
  <si>
    <t xml:space="preserve">Functional Training / אימון פונקציונלי</t>
  </si>
  <si>
    <t xml:space="preserve">Functional Training</t>
  </si>
  <si>
    <t xml:space="preserve">Yossi</t>
  </si>
  <si>
    <t xml:space="preserve">Gym</t>
  </si>
  <si>
    <t xml:space="preserve">Thursday</t>
  </si>
  <si>
    <t xml:space="preserve">Body Sculpt / עיצוב וחיזוק</t>
  </si>
  <si>
    <t xml:space="preserve">Body Sculpt</t>
  </si>
  <si>
    <t xml:space="preserve">Michal</t>
  </si>
  <si>
    <t xml:space="preserve">Friday</t>
  </si>
  <si>
    <t xml:space="preserve">Yoga / יוגה</t>
  </si>
  <si>
    <t xml:space="preserve">Yoga</t>
  </si>
  <si>
    <t xml:space="preserve">Moshe</t>
  </si>
  <si>
    <t xml:space="preserve">maayan</t>
  </si>
  <si>
    <t xml:space="preserve">רמת מתחילים</t>
  </si>
  <si>
    <t xml:space="preserve">17:45</t>
  </si>
  <si>
    <t xml:space="preserve">18:35</t>
  </si>
  <si>
    <t xml:space="preserve">17:45-18:35</t>
  </si>
  <si>
    <t xml:space="preserve">20:00-21:00</t>
  </si>
  <si>
    <t xml:space="preserve">06:30</t>
  </si>
  <si>
    <t xml:space="preserve">07:20</t>
  </si>
  <si>
    <t xml:space="preserve">06:30-07:20</t>
  </si>
  <si>
    <t xml:space="preserve">אימון בוקר</t>
  </si>
  <si>
    <t xml:space="preserve">שיעור מוקדם מאוד (06:30)</t>
  </si>
  <si>
    <t xml:space="preserve">10:45</t>
  </si>
  <si>
    <t xml:space="preserve">10:00-10:45</t>
  </si>
  <si>
    <t xml:space="preserve">19:15</t>
  </si>
  <si>
    <t xml:space="preserve">20:05</t>
  </si>
  <si>
    <t xml:space="preserve">19:15-20:05</t>
  </si>
  <si>
    <t xml:space="preserve">10:30</t>
  </si>
  <si>
    <t xml:space="preserve">11:30</t>
  </si>
  <si>
    <t xml:space="preserve">10:30-11:30</t>
  </si>
  <si>
    <t xml:space="preserve">מתאים לגיל השלישי</t>
  </si>
  <si>
    <t xml:space="preserve">20:20</t>
  </si>
  <si>
    <t xml:space="preserve">19:30-20:20</t>
  </si>
  <si>
    <t xml:space="preserve">אנה</t>
  </si>
  <si>
    <t xml:space="preserve">רמת מתקדמים</t>
  </si>
  <si>
    <t xml:space="preserve">אותו חוג, מדריכה אחרת</t>
  </si>
  <si>
    <t xml:space="preserve">רונית</t>
  </si>
  <si>
    <t xml:space="preserve">galim</t>
  </si>
  <si>
    <t xml:space="preserve">אורה</t>
  </si>
  <si>
    <t xml:space="preserve">אולם ספורט – סניף א'</t>
  </si>
  <si>
    <t xml:space="preserve">יעל / דנה לסירוגין</t>
  </si>
  <si>
    <t xml:space="preserve">שתי מדריכות לסירוגין</t>
  </si>
  <si>
    <t xml:space="preserve">שני מדריכים בתא אחד</t>
  </si>
  <si>
    <t xml:space="preserve">התנגשות: אותו אולם ואותה שעה כמו פילאטיס</t>
  </si>
  <si>
    <t xml:space="preserve">07:00</t>
  </si>
  <si>
    <t xml:space="preserve">07:50</t>
  </si>
  <si>
    <t xml:space="preserve">07:00-07:50</t>
  </si>
  <si>
    <t xml:space="preserve">חדר ספינינג – סניף א'</t>
  </si>
  <si>
    <t xml:space="preserve">עד 14 משתתפים – חובה הרשמה מראש</t>
  </si>
  <si>
    <t xml:space="preserve">מגבלת קיבולת</t>
  </si>
  <si>
    <t xml:space="preserve">16:00</t>
  </si>
  <si>
    <t xml:space="preserve">16:00-17:00</t>
  </si>
  <si>
    <t xml:space="preserve">חדר כושר ילדים</t>
  </si>
  <si>
    <t xml:space="preserve">חדר כושר – סניף ב'</t>
  </si>
  <si>
    <t xml:space="preserve">ילדים</t>
  </si>
  <si>
    <t xml:space="preserve">גילאי 6-14</t>
  </si>
  <si>
    <t xml:space="preserve">טווח גילאים</t>
  </si>
  <si>
    <t xml:space="preserve">20:30</t>
  </si>
  <si>
    <t xml:space="preserve">19:30-20:30</t>
  </si>
  <si>
    <t xml:space="preserve">קפוארה</t>
  </si>
  <si>
    <t xml:space="preserve">אולם ספורט – סניף ב'</t>
  </si>
  <si>
    <t xml:space="preserve">נוער</t>
  </si>
  <si>
    <t xml:space="preserve">מדריך יעודכן</t>
  </si>
  <si>
    <t xml:space="preserve">מדריך חסר</t>
  </si>
  <si>
    <t xml:space="preserve">תמר</t>
  </si>
  <si>
    <t xml:space="preserve">17:00-17:45</t>
  </si>
  <si>
    <t xml:space="preserve">שחייה לילדים</t>
  </si>
  <si>
    <t xml:space="preserve">גילאי 4-6 בליווי הורה</t>
  </si>
  <si>
    <t xml:space="preserve">דרישת ליווי הורה</t>
  </si>
  <si>
    <t xml:space="preserve">המיקום יימסר בהמשך</t>
  </si>
  <si>
    <t xml:space="preserve">אולם חסר</t>
  </si>
  <si>
    <t xml:space="preserve">18:30-19:30</t>
  </si>
  <si>
    <t xml:space="preserve">פילאטיס מכשירים</t>
  </si>
  <si>
    <t xml:space="preserve">מתחיל ב-1.10.2025, עד 8 משתתפות</t>
  </si>
  <si>
    <t xml:space="preserve">תאריך התחלה עתידי + קיבולת</t>
  </si>
  <si>
    <t xml:space="preserve">השיעור לא יתקיים בחודש אוגוסט</t>
  </si>
  <si>
    <t xml:space="preserve">הפסקה עונתית</t>
  </si>
  <si>
    <t xml:space="preserve">11:00</t>
  </si>
  <si>
    <t xml:space="preserve">10:00-11:00</t>
  </si>
  <si>
    <t xml:space="preserve">טאי צ'י</t>
  </si>
  <si>
    <t xml:space="preserve">מגרש חיצוני</t>
  </si>
  <si>
    <t xml:space="preserve">מתקיים רק בעונת הקיץ</t>
  </si>
  <si>
    <t xml:space="preserve">תלוי עונה</t>
  </si>
  <si>
    <t xml:space="preserve">שבת</t>
  </si>
  <si>
    <t xml:space="preserve">10:50</t>
  </si>
  <si>
    <t xml:space="preserve">10:00-10:50</t>
  </si>
  <si>
    <t xml:space="preserve">אימון בוקר משפחתי</t>
  </si>
  <si>
    <t xml:space="preserve">משפחות</t>
  </si>
  <si>
    <t xml:space="preserve">כניסה לפי מקום פנוי</t>
  </si>
  <si>
    <t xml:space="preserve">שיעור בשבת – יום שאינו קיים בקובץ המקור</t>
  </si>
  <si>
    <t xml:space="preserve">סגנון</t>
  </si>
  <si>
    <t xml:space="preserve">סה"כ_שיעורים</t>
  </si>
  <si>
    <t xml:space="preserve">שיעורי_בוקר</t>
  </si>
  <si>
    <t xml:space="preserve">שיעורי_ערב</t>
  </si>
  <si>
    <t xml:space="preserve">ללא_מדריך</t>
  </si>
  <si>
    <t xml:space="preserve">ללא_אולם</t>
  </si>
  <si>
    <t xml:space="preserve">ללא_שעת_סיום</t>
  </si>
  <si>
    <t xml:space="preserve">שורות_עם_מלכודת</t>
  </si>
  <si>
    <t xml:space="preserve">סה"כ</t>
  </si>
  <si>
    <t xml:space="preserve">כל המספרים כאן מחושבים בנוסחאות מתוך גיליון "לוח_שעות" – אפשר להשוות אליהם את פלט הסוכן.</t>
  </si>
  <si>
    <t xml:space="preserve">פריט</t>
  </si>
  <si>
    <t xml:space="preserve">מחיר_כפי_שמופיע</t>
  </si>
  <si>
    <t xml:space="preserve">כניסה חד פעמית</t>
  </si>
  <si>
    <t xml:space="preserve">65 ₪</t>
  </si>
  <si>
    <t xml:space="preserve">ילד/סטודנט/חייל – 58 ₪</t>
  </si>
  <si>
    <t xml:space="preserve">כרטיסייה ל-12 כניסות</t>
  </si>
  <si>
    <t xml:space="preserve">600 ₪</t>
  </si>
  <si>
    <t xml:space="preserve">גמלאי/סטודנט/חייל – 540 ₪</t>
  </si>
  <si>
    <t xml:space="preserve">מנוי לחודש אחד בלבד</t>
  </si>
  <si>
    <t xml:space="preserve">319 ₪</t>
  </si>
  <si>
    <t xml:space="preserve">מנוי רץ בהוראת קבע (מינימום 6 חודשים)</t>
  </si>
  <si>
    <t xml:space="preserve">279 ₪ לחודש</t>
  </si>
  <si>
    <t xml:space="preserve">גמלאי/סטודנט/חייל/נכה – 269 ₪</t>
  </si>
  <si>
    <t xml:space="preserve">חדר כושר נוער (גילאי 12-16)</t>
  </si>
  <si>
    <t xml:space="preserve">199 ₪ לחודש</t>
  </si>
  <si>
    <t xml:space="preserve">ימים ב', ד' בשעות 16:30-17:30</t>
  </si>
  <si>
    <t xml:space="preserve">55 ₪</t>
  </si>
  <si>
    <t xml:space="preserve">כרטיסייה ל-10 כניסות</t>
  </si>
  <si>
    <t xml:space="preserve">480 ₪</t>
  </si>
  <si>
    <t xml:space="preserve">בתוקף לשנה מיום הרכישה</t>
  </si>
  <si>
    <t xml:space="preserve">מנוי חודשי</t>
  </si>
  <si>
    <t xml:space="preserve">289 ₪</t>
  </si>
  <si>
    <t xml:space="preserve">מנוי שנתי מראש</t>
  </si>
  <si>
    <t xml:space="preserve">2,690 ₪</t>
  </si>
  <si>
    <t xml:space="preserve">כולל 2 חודשי הקפאה</t>
  </si>
  <si>
    <t xml:space="preserve">מנוי זוגי בהוראת קבע</t>
  </si>
  <si>
    <t xml:space="preserve">469 ₪ לחודש</t>
  </si>
  <si>
    <t xml:space="preserve">מינימום 3 חודשים</t>
  </si>
  <si>
    <t xml:space="preserve">60 ש"ח</t>
  </si>
  <si>
    <t xml:space="preserve">סטודנט 55</t>
  </si>
  <si>
    <t xml:space="preserve">כרטיסיה 12 כניסות</t>
  </si>
  <si>
    <t xml:space="preserve">₪570</t>
  </si>
  <si>
    <t xml:space="preserve">299</t>
  </si>
  <si>
    <t xml:space="preserve">לא כולל חוגי סטודיו</t>
  </si>
  <si>
    <t xml:space="preserve">מנוי בהו"ק</t>
  </si>
  <si>
    <t xml:space="preserve">265 שח לחודש</t>
  </si>
  <si>
    <t xml:space="preserve">מנוי גמלאי</t>
  </si>
  <si>
    <t xml:space="preserve">טרם נקבע</t>
  </si>
  <si>
    <t xml:space="preserve">יעודכן בקרוב</t>
  </si>
  <si>
    <t xml:space="preserve">Single entry / כניסה חד פעמית</t>
  </si>
  <si>
    <t xml:space="preserve">NIS 62</t>
  </si>
  <si>
    <t xml:space="preserve">Student / Soldier – NIS 55</t>
  </si>
  <si>
    <t xml:space="preserve">10-entry card / כרטיסייה</t>
  </si>
  <si>
    <t xml:space="preserve">NIS 520</t>
  </si>
  <si>
    <t xml:space="preserve">Monthly membership / מנוי חודשי</t>
  </si>
  <si>
    <t xml:space="preserve">NIS 305</t>
  </si>
  <si>
    <t xml:space="preserve">Standing order / הוראת קבע</t>
  </si>
  <si>
    <t xml:space="preserve">NIS 275 per month</t>
  </si>
  <si>
    <t xml:space="preserve">Minimum 3 months</t>
  </si>
  <si>
    <t xml:space="preserve">שיעור בודד (ללא מנוי)</t>
  </si>
  <si>
    <t xml:space="preserve">45 ₪</t>
  </si>
  <si>
    <t xml:space="preserve">בכפוף למקום פנוי</t>
  </si>
  <si>
    <t xml:space="preserve">כרטיסיית 10 שיעורים</t>
  </si>
  <si>
    <t xml:space="preserve">390 ₪</t>
  </si>
  <si>
    <t xml:space="preserve">מנוי חודשי יחיד</t>
  </si>
  <si>
    <t xml:space="preserve">295 ₪</t>
  </si>
  <si>
    <t xml:space="preserve">מנוי משפחתי (2 מבוגרים + 2 ילדים)</t>
  </si>
  <si>
    <t xml:space="preserve">690 ₪ לחודש</t>
  </si>
  <si>
    <t xml:space="preserve">בהוראת קבע בלבד</t>
  </si>
  <si>
    <t xml:space="preserve">מנוי בוקר בלבד (עד 14:00)</t>
  </si>
  <si>
    <t xml:space="preserve">215 ₪ לחודש</t>
  </si>
  <si>
    <t xml:space="preserve">68 ₪</t>
  </si>
  <si>
    <t xml:space="preserve">בסניף ב' – 60 ₪</t>
  </si>
  <si>
    <t xml:space="preserve">620 ₪</t>
  </si>
  <si>
    <t xml:space="preserve">תקפה בשני הסניפים</t>
  </si>
  <si>
    <t xml:space="preserve">329 ₪</t>
  </si>
  <si>
    <t xml:space="preserve">מנוי בהוראת קבע</t>
  </si>
  <si>
    <t xml:space="preserve">289 ₪ לחודש</t>
  </si>
  <si>
    <t xml:space="preserve">מינימום 3 חודשים; מנוי חוזר – 275 ₪</t>
  </si>
  <si>
    <t xml:space="preserve">חוג ילדים (גילאי 6-14)</t>
  </si>
  <si>
    <t xml:space="preserve">219 ₪ לחודש</t>
  </si>
  <si>
    <t xml:space="preserve">מחזור ב' נפתח ב-5.1.2026</t>
  </si>
  <si>
    <t xml:space="preserve">ימים</t>
  </si>
  <si>
    <t xml:space="preserve">פתיחה</t>
  </si>
  <si>
    <t xml:space="preserve">סגירה</t>
  </si>
  <si>
    <t xml:space="preserve">א'-ה'</t>
  </si>
  <si>
    <t xml:space="preserve">06:00</t>
  </si>
  <si>
    <t xml:space="preserve">22:30</t>
  </si>
  <si>
    <t xml:space="preserve">כל יום רביעי 13:00-15:00 סגור לתחזוקה.</t>
  </si>
  <si>
    <t xml:space="preserve">16:30</t>
  </si>
  <si>
    <t xml:space="preserve">22:00</t>
  </si>
  <si>
    <t xml:space="preserve">הבריכה נסגרת חצי שעה לפני סגירת המרכז.</t>
  </si>
  <si>
    <t xml:space="preserve">15:00</t>
  </si>
  <si>
    <t xml:space="preserve">סגור</t>
  </si>
  <si>
    <t xml:space="preserve">א-ה</t>
  </si>
  <si>
    <t xml:space="preserve">בחופשות ובחגים יתכנו שינויים – יש להתעדכן בעמוד הפייסבוק שלנו. | יום ב' 12:00 - 14:00 סגור</t>
  </si>
  <si>
    <t xml:space="preserve">ו</t>
  </si>
  <si>
    <t xml:space="preserve">Sunday-Thursday</t>
  </si>
  <si>
    <t xml:space="preserve">6:00 AM</t>
  </si>
  <si>
    <t xml:space="preserve">10:00 PM</t>
  </si>
  <si>
    <t xml:space="preserve">Pool closes 30 minutes before the center closes. | הבריכה נסגרת חצי שעה לפני סגירת המרכז.</t>
  </si>
  <si>
    <t xml:space="preserve">4:00 PM</t>
  </si>
  <si>
    <t xml:space="preserve">Saturday</t>
  </si>
  <si>
    <t xml:space="preserve">9:00 AM</t>
  </si>
  <si>
    <t xml:space="preserve">5:00 PM</t>
  </si>
  <si>
    <t xml:space="preserve">23:00</t>
  </si>
  <si>
    <t xml:space="preserve">בשעון חורף המרכז נסגר בימי שישי ושבת בשעה 15:00.</t>
  </si>
  <si>
    <t xml:space="preserve">א'-ה' (שעון קיץ)</t>
  </si>
  <si>
    <t xml:space="preserve">05:45</t>
  </si>
  <si>
    <t xml:space="preserve">ערב חג: 06:00-13:00. בחג – סגור. | בתשעה באב ובערב יום כיפור המרכז סגור כל היום. | סניף ב' סגור בימי שישי.</t>
  </si>
  <si>
    <t xml:space="preserve">א'-ה' (שעון חורף)</t>
  </si>
  <si>
    <t xml:space="preserve">מרכז הספורט 'יובלים' פיליפ ליאון (הקובץ שהועלה)</t>
  </si>
  <si>
    <t xml:space="preserve">פענוח גולמי מתוך ה-PDF המקורי. מבנה הטבלה ב-PDF אינו חד-משמעי – שיוך היום מסומן 'לאימות' היכן שלא ודאי.</t>
  </si>
  <si>
    <t xml:space="preserve">רמת_ודאות</t>
  </si>
  <si>
    <t xml:space="preserve">חיה</t>
  </si>
  <si>
    <t xml:space="preserve">ודאי</t>
  </si>
  <si>
    <t xml:space="preserve">בקובץ מופיע 9.00</t>
  </si>
  <si>
    <t xml:space="preserve">כולל הסבר למתחילים 08:15-08:30</t>
  </si>
  <si>
    <t xml:space="preserve">09:40</t>
  </si>
  <si>
    <t xml:space="preserve">09:30</t>
  </si>
  <si>
    <t xml:space="preserve">אולם לא צוין במקור</t>
  </si>
  <si>
    <t xml:space="preserve">לאימות</t>
  </si>
  <si>
    <t xml:space="preserve">שיוך יום לא ודאי</t>
  </si>
  <si>
    <t xml:space="preserve">יעל</t>
  </si>
  <si>
    <t xml:space="preserve">19:05</t>
  </si>
  <si>
    <t xml:space="preserve">16:45</t>
  </si>
  <si>
    <t xml:space="preserve">שיוך יום לאימות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</si>
</sst>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  <c r="C4" s="3"/>
      <c r="D4" s="3"/>
    </row>
    <row r="5" customFormat="false" ht="1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26.85" hidden="false" customHeight="false" outlineLevel="0" collapsed="false">
      <c r="A6" s="3" t="s">
        <v>6</v>
      </c>
      <c r="B6" s="3" t="s">
        <v>7</v>
      </c>
      <c r="C6" s="3" t="s">
        <v>8</v>
      </c>
      <c r="D6" s="3" t="s">
        <v>9</v>
      </c>
    </row>
    <row r="7" customFormat="false" ht="26.85" hidden="false" customHeight="false" outlineLevel="0" collapsed="false">
      <c r="A7" s="3" t="s">
        <v>10</v>
      </c>
      <c r="B7" s="3" t="s">
        <v>11</v>
      </c>
      <c r="C7" s="3" t="s">
        <v>12</v>
      </c>
      <c r="D7" s="3" t="s">
        <v>13</v>
      </c>
    </row>
    <row r="8" customFormat="false" ht="26.85" hidden="false" customHeight="false" outlineLevel="0" collapsed="false">
      <c r="A8" s="3" t="s">
        <v>14</v>
      </c>
      <c r="B8" s="3" t="s">
        <v>15</v>
      </c>
      <c r="C8" s="3" t="s">
        <v>16</v>
      </c>
      <c r="D8" s="3" t="s">
        <v>17</v>
      </c>
    </row>
    <row r="9" customFormat="false" ht="26.85" hidden="false" customHeight="false" outlineLevel="0" collapsed="false">
      <c r="A9" s="3" t="s">
        <v>18</v>
      </c>
      <c r="B9" s="3" t="s">
        <v>19</v>
      </c>
      <c r="C9" s="3" t="s">
        <v>20</v>
      </c>
      <c r="D9" s="3" t="s">
        <v>21</v>
      </c>
    </row>
    <row r="10" customFormat="false" ht="26.85" hidden="false" customHeight="false" outlineLevel="0" collapsed="false">
      <c r="A10" s="3" t="s">
        <v>22</v>
      </c>
      <c r="B10" s="3" t="s">
        <v>23</v>
      </c>
      <c r="C10" s="3" t="s">
        <v>24</v>
      </c>
      <c r="D10" s="3" t="s">
        <v>25</v>
      </c>
    </row>
    <row r="11" customFormat="false" ht="26.85" hidden="false" customHeight="false" outlineLevel="0" collapsed="false">
      <c r="A11" s="3" t="s">
        <v>26</v>
      </c>
      <c r="B11" s="3" t="s">
        <v>27</v>
      </c>
      <c r="C11" s="3" t="s">
        <v>28</v>
      </c>
      <c r="D11" s="3" t="s">
        <v>29</v>
      </c>
    </row>
    <row r="13" customFormat="false" ht="15" hidden="false" customHeight="false" outlineLevel="0" collapsed="false">
      <c r="A13" s="5" t="s">
        <v>30</v>
      </c>
    </row>
    <row r="14" customFormat="false" ht="39.55" hidden="false" customHeight="false" outlineLevel="0" collapsed="false">
      <c r="A14" s="6" t="s">
        <v>31</v>
      </c>
      <c r="B14" s="3" t="s">
        <v>32</v>
      </c>
    </row>
    <row r="15" customFormat="false" ht="39.55" hidden="false" customHeight="false" outlineLevel="0" collapsed="false">
      <c r="A15" s="6" t="s">
        <v>33</v>
      </c>
      <c r="B15" s="3" t="s">
        <v>34</v>
      </c>
    </row>
    <row r="16" customFormat="false" ht="26.85" hidden="false" customHeight="false" outlineLevel="0" collapsed="false">
      <c r="A16" s="6" t="s">
        <v>35</v>
      </c>
      <c r="B16" s="3" t="s">
        <v>36</v>
      </c>
    </row>
    <row r="17" customFormat="false" ht="26.85" hidden="false" customHeight="false" outlineLevel="0" collapsed="false">
      <c r="A17" s="6" t="s">
        <v>37</v>
      </c>
      <c r="B17" s="3" t="s">
        <v>38</v>
      </c>
    </row>
    <row r="19" customFormat="false" ht="77.6" hidden="false" customHeight="false" outlineLevel="0" collapsed="false">
      <c r="A19" s="5" t="s">
        <v>39</v>
      </c>
      <c r="B19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2" min="11" style="0" width="22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16" min="16" style="0" width="14"/>
    <col collapsed="false" customWidth="true" hidden="false" outlineLevel="0" max="17" min="17" style="0" width="30"/>
    <col collapsed="false" customWidth="true" hidden="false" outlineLevel="0" max="18" min="18" style="0" width="34"/>
  </cols>
  <sheetData>
    <row r="1" customFormat="false" ht="26.85" hidden="false" customHeight="fals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37</v>
      </c>
    </row>
    <row r="2" customFormat="false" ht="15" hidden="false" customHeight="false" outlineLevel="0" collapsed="false">
      <c r="A2" s="8" t="s">
        <v>6</v>
      </c>
      <c r="B2" s="8" t="s">
        <v>58</v>
      </c>
      <c r="C2" s="8" t="s">
        <v>7</v>
      </c>
      <c r="D2" s="8" t="s">
        <v>59</v>
      </c>
      <c r="E2" s="8" t="s">
        <v>59</v>
      </c>
      <c r="F2" s="8" t="s">
        <v>60</v>
      </c>
      <c r="G2" s="8" t="s">
        <v>61</v>
      </c>
      <c r="H2" s="8" t="n">
        <f aca="false">IFERROR((TIMEVALUE(G2)-TIMEVALUE(F2))*1440,"")</f>
        <v>50</v>
      </c>
      <c r="I2" s="8" t="str">
        <f aca="false">IF(F2&lt;"13:00","בוקר","ערב")</f>
        <v>בוקר</v>
      </c>
      <c r="J2" s="8" t="s">
        <v>62</v>
      </c>
      <c r="K2" s="8" t="s">
        <v>63</v>
      </c>
      <c r="L2" s="8" t="s">
        <v>63</v>
      </c>
      <c r="M2" s="8"/>
      <c r="N2" s="8" t="s">
        <v>64</v>
      </c>
      <c r="O2" s="8" t="s">
        <v>65</v>
      </c>
      <c r="P2" s="8" t="s">
        <v>66</v>
      </c>
      <c r="Q2" s="9"/>
      <c r="R2" s="9"/>
    </row>
    <row r="3" customFormat="false" ht="15" hidden="false" customHeight="false" outlineLevel="0" collapsed="false">
      <c r="A3" s="8" t="s">
        <v>6</v>
      </c>
      <c r="B3" s="8" t="s">
        <v>58</v>
      </c>
      <c r="C3" s="8" t="s">
        <v>7</v>
      </c>
      <c r="D3" s="8" t="s">
        <v>59</v>
      </c>
      <c r="E3" s="8" t="s">
        <v>59</v>
      </c>
      <c r="F3" s="8" t="s">
        <v>67</v>
      </c>
      <c r="G3" s="8" t="s">
        <v>68</v>
      </c>
      <c r="H3" s="8" t="n">
        <f aca="false">IFERROR((TIMEVALUE(G3)-TIMEVALUE(F3))*1440,"")</f>
        <v>50</v>
      </c>
      <c r="I3" s="8" t="str">
        <f aca="false">IF(F3&lt;"13:00","בוקר","ערב")</f>
        <v>בוקר</v>
      </c>
      <c r="J3" s="8" t="s">
        <v>69</v>
      </c>
      <c r="K3" s="8" t="s">
        <v>70</v>
      </c>
      <c r="L3" s="8" t="s">
        <v>70</v>
      </c>
      <c r="M3" s="8"/>
      <c r="N3" s="8" t="s">
        <v>71</v>
      </c>
      <c r="O3" s="8" t="s">
        <v>65</v>
      </c>
      <c r="P3" s="8" t="s">
        <v>72</v>
      </c>
      <c r="Q3" s="9"/>
      <c r="R3" s="9"/>
    </row>
    <row r="4" customFormat="false" ht="15" hidden="false" customHeight="false" outlineLevel="0" collapsed="false">
      <c r="A4" s="8" t="s">
        <v>6</v>
      </c>
      <c r="B4" s="8" t="s">
        <v>58</v>
      </c>
      <c r="C4" s="8" t="s">
        <v>7</v>
      </c>
      <c r="D4" s="8" t="s">
        <v>59</v>
      </c>
      <c r="E4" s="8" t="s">
        <v>59</v>
      </c>
      <c r="F4" s="8" t="s">
        <v>73</v>
      </c>
      <c r="G4" s="8" t="s">
        <v>74</v>
      </c>
      <c r="H4" s="8" t="n">
        <f aca="false">IFERROR((TIMEVALUE(G4)-TIMEVALUE(F4))*1440,"")</f>
        <v>50</v>
      </c>
      <c r="I4" s="8" t="str">
        <f aca="false">IF(F4&lt;"13:00","בוקר","ערב")</f>
        <v>ערב</v>
      </c>
      <c r="J4" s="8" t="s">
        <v>75</v>
      </c>
      <c r="K4" s="8" t="s">
        <v>76</v>
      </c>
      <c r="L4" s="8" t="s">
        <v>76</v>
      </c>
      <c r="M4" s="8"/>
      <c r="N4" s="8" t="s">
        <v>77</v>
      </c>
      <c r="O4" s="8" t="s">
        <v>78</v>
      </c>
      <c r="P4" s="8" t="s">
        <v>72</v>
      </c>
      <c r="Q4" s="9"/>
      <c r="R4" s="9"/>
    </row>
    <row r="5" customFormat="false" ht="15" hidden="false" customHeight="false" outlineLevel="0" collapsed="false">
      <c r="A5" s="8" t="s">
        <v>6</v>
      </c>
      <c r="B5" s="8" t="s">
        <v>58</v>
      </c>
      <c r="C5" s="8" t="s">
        <v>7</v>
      </c>
      <c r="D5" s="8" t="s">
        <v>59</v>
      </c>
      <c r="E5" s="8" t="s">
        <v>59</v>
      </c>
      <c r="F5" s="8" t="s">
        <v>79</v>
      </c>
      <c r="G5" s="8" t="s">
        <v>80</v>
      </c>
      <c r="H5" s="8" t="n">
        <f aca="false">IFERROR((TIMEVALUE(G5)-TIMEVALUE(F5))*1440,"")</f>
        <v>50</v>
      </c>
      <c r="I5" s="8" t="str">
        <f aca="false">IF(F5&lt;"13:00","בוקר","ערב")</f>
        <v>ערב</v>
      </c>
      <c r="J5" s="8" t="s">
        <v>81</v>
      </c>
      <c r="K5" s="8" t="s">
        <v>82</v>
      </c>
      <c r="L5" s="8" t="s">
        <v>82</v>
      </c>
      <c r="M5" s="8"/>
      <c r="N5" s="8" t="s">
        <v>83</v>
      </c>
      <c r="O5" s="8" t="s">
        <v>84</v>
      </c>
      <c r="P5" s="8" t="s">
        <v>66</v>
      </c>
      <c r="Q5" s="9"/>
      <c r="R5" s="9"/>
    </row>
    <row r="6" customFormat="false" ht="15" hidden="false" customHeight="false" outlineLevel="0" collapsed="false">
      <c r="A6" s="8" t="s">
        <v>6</v>
      </c>
      <c r="B6" s="8" t="s">
        <v>58</v>
      </c>
      <c r="C6" s="8" t="s">
        <v>7</v>
      </c>
      <c r="D6" s="8" t="s">
        <v>85</v>
      </c>
      <c r="E6" s="8" t="s">
        <v>85</v>
      </c>
      <c r="F6" s="8" t="s">
        <v>86</v>
      </c>
      <c r="G6" s="8" t="s">
        <v>87</v>
      </c>
      <c r="H6" s="8" t="n">
        <f aca="false">IFERROR((TIMEVALUE(G6)-TIMEVALUE(F6))*1440,"")</f>
        <v>50</v>
      </c>
      <c r="I6" s="8" t="str">
        <f aca="false">IF(F6&lt;"13:00","בוקר","ערב")</f>
        <v>בוקר</v>
      </c>
      <c r="J6" s="8" t="s">
        <v>88</v>
      </c>
      <c r="K6" s="8" t="s">
        <v>63</v>
      </c>
      <c r="L6" s="8" t="s">
        <v>63</v>
      </c>
      <c r="M6" s="8"/>
      <c r="N6" s="8" t="s">
        <v>64</v>
      </c>
      <c r="O6" s="8" t="s">
        <v>65</v>
      </c>
      <c r="P6" s="8" t="s">
        <v>66</v>
      </c>
      <c r="Q6" s="9"/>
      <c r="R6" s="9"/>
    </row>
    <row r="7" customFormat="false" ht="15" hidden="false" customHeight="false" outlineLevel="0" collapsed="false">
      <c r="A7" s="8" t="s">
        <v>6</v>
      </c>
      <c r="B7" s="8" t="s">
        <v>58</v>
      </c>
      <c r="C7" s="8" t="s">
        <v>7</v>
      </c>
      <c r="D7" s="8" t="s">
        <v>85</v>
      </c>
      <c r="E7" s="8" t="s">
        <v>85</v>
      </c>
      <c r="F7" s="8" t="s">
        <v>67</v>
      </c>
      <c r="G7" s="8" t="s">
        <v>68</v>
      </c>
      <c r="H7" s="8" t="n">
        <f aca="false">IFERROR((TIMEVALUE(G7)-TIMEVALUE(F7))*1440,"")</f>
        <v>50</v>
      </c>
      <c r="I7" s="8" t="str">
        <f aca="false">IF(F7&lt;"13:00","בוקר","ערב")</f>
        <v>בוקר</v>
      </c>
      <c r="J7" s="8" t="s">
        <v>69</v>
      </c>
      <c r="K7" s="8" t="s">
        <v>89</v>
      </c>
      <c r="L7" s="8" t="s">
        <v>89</v>
      </c>
      <c r="M7" s="8"/>
      <c r="N7" s="8" t="s">
        <v>90</v>
      </c>
      <c r="O7" s="8" t="s">
        <v>91</v>
      </c>
      <c r="P7" s="8" t="s">
        <v>72</v>
      </c>
      <c r="Q7" s="9"/>
      <c r="R7" s="9"/>
    </row>
    <row r="8" customFormat="false" ht="15" hidden="false" customHeight="false" outlineLevel="0" collapsed="false">
      <c r="A8" s="8" t="s">
        <v>6</v>
      </c>
      <c r="B8" s="8" t="s">
        <v>58</v>
      </c>
      <c r="C8" s="8" t="s">
        <v>7</v>
      </c>
      <c r="D8" s="8" t="s">
        <v>85</v>
      </c>
      <c r="E8" s="8" t="s">
        <v>85</v>
      </c>
      <c r="F8" s="8" t="s">
        <v>92</v>
      </c>
      <c r="G8" s="8" t="s">
        <v>93</v>
      </c>
      <c r="H8" s="8" t="n">
        <f aca="false">IFERROR((TIMEVALUE(G8)-TIMEVALUE(F8))*1440,"")</f>
        <v>50</v>
      </c>
      <c r="I8" s="8" t="str">
        <f aca="false">IF(F8&lt;"13:00","בוקר","ערב")</f>
        <v>ערב</v>
      </c>
      <c r="J8" s="8" t="s">
        <v>94</v>
      </c>
      <c r="K8" s="8" t="s">
        <v>95</v>
      </c>
      <c r="L8" s="8" t="s">
        <v>95</v>
      </c>
      <c r="M8" s="8"/>
      <c r="N8" s="8" t="s">
        <v>96</v>
      </c>
      <c r="O8" s="8" t="s">
        <v>78</v>
      </c>
      <c r="P8" s="8" t="s">
        <v>66</v>
      </c>
      <c r="Q8" s="9"/>
      <c r="R8" s="9"/>
    </row>
    <row r="9" customFormat="false" ht="15" hidden="false" customHeight="false" outlineLevel="0" collapsed="false">
      <c r="A9" s="8" t="s">
        <v>6</v>
      </c>
      <c r="B9" s="8" t="s">
        <v>58</v>
      </c>
      <c r="C9" s="8" t="s">
        <v>7</v>
      </c>
      <c r="D9" s="8" t="s">
        <v>85</v>
      </c>
      <c r="E9" s="8" t="s">
        <v>85</v>
      </c>
      <c r="F9" s="8" t="s">
        <v>79</v>
      </c>
      <c r="G9" s="8" t="s">
        <v>80</v>
      </c>
      <c r="H9" s="8" t="n">
        <f aca="false">IFERROR((TIMEVALUE(G9)-TIMEVALUE(F9))*1440,"")</f>
        <v>50</v>
      </c>
      <c r="I9" s="8" t="str">
        <f aca="false">IF(F9&lt;"13:00","בוקר","ערב")</f>
        <v>ערב</v>
      </c>
      <c r="J9" s="8" t="s">
        <v>81</v>
      </c>
      <c r="K9" s="8" t="s">
        <v>97</v>
      </c>
      <c r="L9" s="8" t="s">
        <v>97</v>
      </c>
      <c r="M9" s="8"/>
      <c r="N9" s="8" t="s">
        <v>98</v>
      </c>
      <c r="O9" s="8" t="s">
        <v>99</v>
      </c>
      <c r="P9" s="8" t="s">
        <v>72</v>
      </c>
      <c r="Q9" s="9"/>
      <c r="R9" s="9"/>
    </row>
    <row r="10" customFormat="false" ht="15" hidden="false" customHeight="false" outlineLevel="0" collapsed="false">
      <c r="A10" s="8" t="s">
        <v>6</v>
      </c>
      <c r="B10" s="8" t="s">
        <v>58</v>
      </c>
      <c r="C10" s="8" t="s">
        <v>7</v>
      </c>
      <c r="D10" s="8" t="s">
        <v>100</v>
      </c>
      <c r="E10" s="8" t="s">
        <v>100</v>
      </c>
      <c r="F10" s="8" t="s">
        <v>87</v>
      </c>
      <c r="G10" s="8" t="s">
        <v>101</v>
      </c>
      <c r="H10" s="8" t="n">
        <f aca="false">IFERROR((TIMEVALUE(G10)-TIMEVALUE(F10))*1440,"")</f>
        <v>50</v>
      </c>
      <c r="I10" s="8" t="str">
        <f aca="false">IF(F10&lt;"13:00","בוקר","ערב")</f>
        <v>בוקר</v>
      </c>
      <c r="J10" s="8" t="s">
        <v>102</v>
      </c>
      <c r="K10" s="8" t="s">
        <v>76</v>
      </c>
      <c r="L10" s="8" t="s">
        <v>76</v>
      </c>
      <c r="M10" s="8"/>
      <c r="N10" s="8" t="s">
        <v>77</v>
      </c>
      <c r="O10" s="8" t="s">
        <v>78</v>
      </c>
      <c r="P10" s="8" t="s">
        <v>72</v>
      </c>
      <c r="Q10" s="9"/>
      <c r="R10" s="9"/>
    </row>
    <row r="11" customFormat="false" ht="15" hidden="false" customHeight="false" outlineLevel="0" collapsed="false">
      <c r="A11" s="8" t="s">
        <v>6</v>
      </c>
      <c r="B11" s="8" t="s">
        <v>58</v>
      </c>
      <c r="C11" s="8" t="s">
        <v>7</v>
      </c>
      <c r="D11" s="8" t="s">
        <v>100</v>
      </c>
      <c r="E11" s="8" t="s">
        <v>100</v>
      </c>
      <c r="F11" s="8" t="s">
        <v>103</v>
      </c>
      <c r="G11" s="8" t="s">
        <v>104</v>
      </c>
      <c r="H11" s="8" t="n">
        <f aca="false">IFERROR((TIMEVALUE(G11)-TIMEVALUE(F11))*1440,"")</f>
        <v>50</v>
      </c>
      <c r="I11" s="8" t="str">
        <f aca="false">IF(F11&lt;"13:00","בוקר","ערב")</f>
        <v>ערב</v>
      </c>
      <c r="J11" s="8" t="s">
        <v>105</v>
      </c>
      <c r="K11" s="8" t="s">
        <v>106</v>
      </c>
      <c r="L11" s="8" t="s">
        <v>106</v>
      </c>
      <c r="M11" s="8"/>
      <c r="N11" s="8" t="s">
        <v>107</v>
      </c>
      <c r="O11" s="8" t="s">
        <v>65</v>
      </c>
      <c r="P11" s="8" t="s">
        <v>72</v>
      </c>
      <c r="Q11" s="9"/>
      <c r="R11" s="9"/>
    </row>
    <row r="12" customFormat="false" ht="15" hidden="false" customHeight="false" outlineLevel="0" collapsed="false">
      <c r="A12" s="8" t="s">
        <v>6</v>
      </c>
      <c r="B12" s="8" t="s">
        <v>58</v>
      </c>
      <c r="C12" s="8" t="s">
        <v>7</v>
      </c>
      <c r="D12" s="8" t="s">
        <v>108</v>
      </c>
      <c r="E12" s="8" t="s">
        <v>108</v>
      </c>
      <c r="F12" s="8" t="s">
        <v>109</v>
      </c>
      <c r="G12" s="8" t="s">
        <v>110</v>
      </c>
      <c r="H12" s="8" t="n">
        <f aca="false">IFERROR((TIMEVALUE(G12)-TIMEVALUE(F12))*1440,"")</f>
        <v>45</v>
      </c>
      <c r="I12" s="8" t="str">
        <f aca="false">IF(F12&lt;"13:00","בוקר","ערב")</f>
        <v>בוקר</v>
      </c>
      <c r="J12" s="8" t="s">
        <v>111</v>
      </c>
      <c r="K12" s="8" t="s">
        <v>112</v>
      </c>
      <c r="L12" s="8" t="s">
        <v>112</v>
      </c>
      <c r="M12" s="8"/>
      <c r="N12" s="8" t="s">
        <v>113</v>
      </c>
      <c r="O12" s="8" t="s">
        <v>114</v>
      </c>
      <c r="P12" s="8" t="s">
        <v>66</v>
      </c>
      <c r="Q12" s="9"/>
      <c r="R12" s="9"/>
    </row>
    <row r="13" customFormat="false" ht="15" hidden="false" customHeight="false" outlineLevel="0" collapsed="false">
      <c r="A13" s="8" t="s">
        <v>6</v>
      </c>
      <c r="B13" s="8" t="s">
        <v>58</v>
      </c>
      <c r="C13" s="8" t="s">
        <v>7</v>
      </c>
      <c r="D13" s="8" t="s">
        <v>108</v>
      </c>
      <c r="E13" s="8" t="s">
        <v>108</v>
      </c>
      <c r="F13" s="8" t="s">
        <v>115</v>
      </c>
      <c r="G13" s="8" t="s">
        <v>116</v>
      </c>
      <c r="H13" s="8" t="n">
        <f aca="false">IFERROR((TIMEVALUE(G13)-TIMEVALUE(F13))*1440,"")</f>
        <v>50</v>
      </c>
      <c r="I13" s="8" t="str">
        <f aca="false">IF(F13&lt;"13:00","בוקר","ערב")</f>
        <v>ערב</v>
      </c>
      <c r="J13" s="8" t="s">
        <v>117</v>
      </c>
      <c r="K13" s="8" t="s">
        <v>89</v>
      </c>
      <c r="L13" s="8" t="s">
        <v>89</v>
      </c>
      <c r="M13" s="8"/>
      <c r="N13" s="8" t="s">
        <v>118</v>
      </c>
      <c r="O13" s="8" t="s">
        <v>91</v>
      </c>
      <c r="P13" s="8" t="s">
        <v>72</v>
      </c>
      <c r="Q13" s="9"/>
      <c r="R13" s="9"/>
    </row>
    <row r="14" customFormat="false" ht="15" hidden="false" customHeight="false" outlineLevel="0" collapsed="false">
      <c r="A14" s="8" t="s">
        <v>6</v>
      </c>
      <c r="B14" s="8" t="s">
        <v>58</v>
      </c>
      <c r="C14" s="8" t="s">
        <v>7</v>
      </c>
      <c r="D14" s="8" t="s">
        <v>119</v>
      </c>
      <c r="E14" s="8" t="s">
        <v>119</v>
      </c>
      <c r="F14" s="8" t="s">
        <v>60</v>
      </c>
      <c r="G14" s="8" t="s">
        <v>61</v>
      </c>
      <c r="H14" s="8" t="n">
        <f aca="false">IFERROR((TIMEVALUE(G14)-TIMEVALUE(F14))*1440,"")</f>
        <v>50</v>
      </c>
      <c r="I14" s="8" t="str">
        <f aca="false">IF(F14&lt;"13:00","בוקר","ערב")</f>
        <v>בוקר</v>
      </c>
      <c r="J14" s="8" t="s">
        <v>62</v>
      </c>
      <c r="K14" s="8" t="s">
        <v>70</v>
      </c>
      <c r="L14" s="8" t="s">
        <v>70</v>
      </c>
      <c r="M14" s="8"/>
      <c r="N14" s="8" t="s">
        <v>71</v>
      </c>
      <c r="O14" s="8" t="s">
        <v>65</v>
      </c>
      <c r="P14" s="8" t="s">
        <v>66</v>
      </c>
      <c r="Q14" s="9"/>
      <c r="R14" s="9"/>
    </row>
    <row r="15" customFormat="false" ht="15" hidden="false" customHeight="false" outlineLevel="0" collapsed="false">
      <c r="A15" s="8" t="s">
        <v>6</v>
      </c>
      <c r="B15" s="8" t="s">
        <v>58</v>
      </c>
      <c r="C15" s="8" t="s">
        <v>7</v>
      </c>
      <c r="D15" s="8" t="s">
        <v>119</v>
      </c>
      <c r="E15" s="8" t="s">
        <v>119</v>
      </c>
      <c r="F15" s="8" t="s">
        <v>120</v>
      </c>
      <c r="G15" s="8" t="s">
        <v>121</v>
      </c>
      <c r="H15" s="8" t="n">
        <f aca="false">IFERROR((TIMEVALUE(G15)-TIMEVALUE(F15))*1440,"")</f>
        <v>50</v>
      </c>
      <c r="I15" s="8" t="str">
        <f aca="false">IF(F15&lt;"13:00","בוקר","ערב")</f>
        <v>ערב</v>
      </c>
      <c r="J15" s="8" t="s">
        <v>122</v>
      </c>
      <c r="K15" s="8" t="s">
        <v>123</v>
      </c>
      <c r="L15" s="8" t="s">
        <v>123</v>
      </c>
      <c r="M15" s="8"/>
      <c r="N15" s="8" t="s">
        <v>96</v>
      </c>
      <c r="O15" s="8" t="s">
        <v>78</v>
      </c>
      <c r="P15" s="8" t="s">
        <v>72</v>
      </c>
      <c r="Q15" s="9"/>
      <c r="R15" s="9"/>
    </row>
    <row r="16" customFormat="false" ht="15" hidden="false" customHeight="false" outlineLevel="0" collapsed="false">
      <c r="A16" s="8" t="s">
        <v>6</v>
      </c>
      <c r="B16" s="8" t="s">
        <v>58</v>
      </c>
      <c r="C16" s="8" t="s">
        <v>7</v>
      </c>
      <c r="D16" s="8" t="s">
        <v>124</v>
      </c>
      <c r="E16" s="8" t="s">
        <v>124</v>
      </c>
      <c r="F16" s="8" t="s">
        <v>87</v>
      </c>
      <c r="G16" s="8" t="s">
        <v>101</v>
      </c>
      <c r="H16" s="8" t="n">
        <f aca="false">IFERROR((TIMEVALUE(G16)-TIMEVALUE(F16))*1440,"")</f>
        <v>50</v>
      </c>
      <c r="I16" s="8" t="str">
        <f aca="false">IF(F16&lt;"13:00","בוקר","ערב")</f>
        <v>בוקר</v>
      </c>
      <c r="J16" s="8" t="s">
        <v>102</v>
      </c>
      <c r="K16" s="8" t="s">
        <v>76</v>
      </c>
      <c r="L16" s="8" t="s">
        <v>76</v>
      </c>
      <c r="M16" s="8"/>
      <c r="N16" s="8" t="s">
        <v>125</v>
      </c>
      <c r="O16" s="8" t="s">
        <v>91</v>
      </c>
      <c r="P16" s="8" t="s">
        <v>72</v>
      </c>
      <c r="Q16" s="9"/>
      <c r="R16" s="9"/>
    </row>
    <row r="17" customFormat="false" ht="15" hidden="false" customHeight="false" outlineLevel="0" collapsed="false">
      <c r="A17" s="8" t="s">
        <v>10</v>
      </c>
      <c r="B17" s="8" t="s">
        <v>126</v>
      </c>
      <c r="C17" s="8" t="s">
        <v>11</v>
      </c>
      <c r="D17" s="8" t="s">
        <v>59</v>
      </c>
      <c r="E17" s="8" t="s">
        <v>59</v>
      </c>
      <c r="F17" s="8" t="s">
        <v>60</v>
      </c>
      <c r="G17" s="8" t="s">
        <v>127</v>
      </c>
      <c r="H17" s="8" t="n">
        <f aca="false">IFERROR((TIMEVALUE(G17)-TIMEVALUE(F17))*1440,"")</f>
        <v>55</v>
      </c>
      <c r="I17" s="8" t="str">
        <f aca="false">IF(F17&lt;"13:00","בוקר","ערב")</f>
        <v>בוקר</v>
      </c>
      <c r="J17" s="8" t="s">
        <v>128</v>
      </c>
      <c r="K17" s="8" t="s">
        <v>63</v>
      </c>
      <c r="L17" s="8" t="s">
        <v>63</v>
      </c>
      <c r="M17" s="8"/>
      <c r="N17" s="8" t="s">
        <v>129</v>
      </c>
      <c r="O17" s="8" t="s">
        <v>55</v>
      </c>
      <c r="P17" s="8" t="s">
        <v>66</v>
      </c>
      <c r="Q17" s="9"/>
      <c r="R17" s="9"/>
    </row>
    <row r="18" customFormat="false" ht="15" hidden="false" customHeight="false" outlineLevel="0" collapsed="false">
      <c r="A18" s="8" t="s">
        <v>10</v>
      </c>
      <c r="B18" s="8" t="s">
        <v>126</v>
      </c>
      <c r="C18" s="8" t="s">
        <v>11</v>
      </c>
      <c r="D18" s="8" t="s">
        <v>59</v>
      </c>
      <c r="E18" s="8" t="s">
        <v>59</v>
      </c>
      <c r="F18" s="8" t="s">
        <v>130</v>
      </c>
      <c r="G18" s="8" t="s">
        <v>131</v>
      </c>
      <c r="H18" s="8" t="n">
        <f aca="false">IFERROR((TIMEVALUE(G18)-TIMEVALUE(F18))*1440,"")</f>
        <v>55</v>
      </c>
      <c r="I18" s="8" t="str">
        <f aca="false">IF(F18&lt;"13:00","בוקר","ערב")</f>
        <v>בוקר</v>
      </c>
      <c r="J18" s="8" t="s">
        <v>132</v>
      </c>
      <c r="K18" s="8" t="s">
        <v>76</v>
      </c>
      <c r="L18" s="8" t="s">
        <v>76</v>
      </c>
      <c r="M18" s="8"/>
      <c r="N18" s="8" t="s">
        <v>133</v>
      </c>
      <c r="O18" s="8" t="s">
        <v>134</v>
      </c>
      <c r="P18" s="8" t="s">
        <v>72</v>
      </c>
      <c r="Q18" s="9"/>
      <c r="R18" s="9"/>
    </row>
    <row r="19" customFormat="false" ht="15" hidden="false" customHeight="false" outlineLevel="0" collapsed="false">
      <c r="A19" s="8" t="s">
        <v>10</v>
      </c>
      <c r="B19" s="8" t="s">
        <v>126</v>
      </c>
      <c r="C19" s="8" t="s">
        <v>11</v>
      </c>
      <c r="D19" s="8" t="s">
        <v>59</v>
      </c>
      <c r="E19" s="8" t="s">
        <v>59</v>
      </c>
      <c r="F19" s="8" t="s">
        <v>92</v>
      </c>
      <c r="G19" s="8" t="s">
        <v>135</v>
      </c>
      <c r="H19" s="8" t="n">
        <f aca="false">IFERROR((TIMEVALUE(G19)-TIMEVALUE(F19))*1440,"")</f>
        <v>55</v>
      </c>
      <c r="I19" s="8" t="str">
        <f aca="false">IF(F19&lt;"13:00","בוקר","ערב")</f>
        <v>ערב</v>
      </c>
      <c r="J19" s="8" t="s">
        <v>136</v>
      </c>
      <c r="K19" s="8" t="s">
        <v>137</v>
      </c>
      <c r="L19" s="8" t="s">
        <v>137</v>
      </c>
      <c r="M19" s="8"/>
      <c r="N19" s="8" t="s">
        <v>138</v>
      </c>
      <c r="O19" s="8" t="s">
        <v>134</v>
      </c>
      <c r="P19" s="8" t="s">
        <v>66</v>
      </c>
      <c r="Q19" s="9"/>
      <c r="R19" s="9"/>
    </row>
    <row r="20" customFormat="false" ht="15" hidden="false" customHeight="false" outlineLevel="0" collapsed="false">
      <c r="A20" s="8" t="s">
        <v>10</v>
      </c>
      <c r="B20" s="8" t="s">
        <v>126</v>
      </c>
      <c r="C20" s="8" t="s">
        <v>11</v>
      </c>
      <c r="D20" s="8" t="s">
        <v>59</v>
      </c>
      <c r="E20" s="8" t="s">
        <v>59</v>
      </c>
      <c r="F20" s="8" t="s">
        <v>139</v>
      </c>
      <c r="G20" s="8" t="s">
        <v>140</v>
      </c>
      <c r="H20" s="8" t="n">
        <f aca="false">IFERROR((TIMEVALUE(G20)-TIMEVALUE(F20))*1440,"")</f>
        <v>55</v>
      </c>
      <c r="I20" s="8" t="str">
        <f aca="false">IF(F20&lt;"13:00","בוקר","ערב")</f>
        <v>ערב</v>
      </c>
      <c r="J20" s="8" t="s">
        <v>141</v>
      </c>
      <c r="K20" s="8" t="s">
        <v>89</v>
      </c>
      <c r="L20" s="8" t="s">
        <v>89</v>
      </c>
      <c r="M20" s="8"/>
      <c r="N20" s="8" t="s">
        <v>90</v>
      </c>
      <c r="O20" s="8" t="s">
        <v>142</v>
      </c>
      <c r="P20" s="8" t="s">
        <v>72</v>
      </c>
      <c r="Q20" s="9"/>
      <c r="R20" s="9"/>
    </row>
    <row r="21" customFormat="false" ht="15" hidden="false" customHeight="false" outlineLevel="0" collapsed="false">
      <c r="A21" s="8" t="s">
        <v>10</v>
      </c>
      <c r="B21" s="8" t="s">
        <v>126</v>
      </c>
      <c r="C21" s="8" t="s">
        <v>11</v>
      </c>
      <c r="D21" s="8" t="s">
        <v>85</v>
      </c>
      <c r="E21" s="8" t="s">
        <v>85</v>
      </c>
      <c r="F21" s="8" t="s">
        <v>60</v>
      </c>
      <c r="G21" s="8" t="s">
        <v>127</v>
      </c>
      <c r="H21" s="8" t="n">
        <f aca="false">IFERROR((TIMEVALUE(G21)-TIMEVALUE(F21))*1440,"")</f>
        <v>55</v>
      </c>
      <c r="I21" s="8" t="str">
        <f aca="false">IF(F21&lt;"13:00","בוקר","ערב")</f>
        <v>בוקר</v>
      </c>
      <c r="J21" s="8" t="s">
        <v>128</v>
      </c>
      <c r="K21" s="8" t="s">
        <v>143</v>
      </c>
      <c r="L21" s="8" t="s">
        <v>143</v>
      </c>
      <c r="M21" s="8"/>
      <c r="N21" s="8" t="s">
        <v>118</v>
      </c>
      <c r="O21" s="8" t="s">
        <v>142</v>
      </c>
      <c r="P21" s="8" t="s">
        <v>72</v>
      </c>
      <c r="Q21" s="9"/>
      <c r="R21" s="9"/>
    </row>
    <row r="22" customFormat="false" ht="15" hidden="false" customHeight="false" outlineLevel="0" collapsed="false">
      <c r="A22" s="8" t="s">
        <v>10</v>
      </c>
      <c r="B22" s="8" t="s">
        <v>126</v>
      </c>
      <c r="C22" s="8" t="s">
        <v>11</v>
      </c>
      <c r="D22" s="8" t="s">
        <v>85</v>
      </c>
      <c r="E22" s="8" t="s">
        <v>85</v>
      </c>
      <c r="F22" s="8" t="s">
        <v>130</v>
      </c>
      <c r="G22" s="8" t="s">
        <v>131</v>
      </c>
      <c r="H22" s="8" t="n">
        <f aca="false">IFERROR((TIMEVALUE(G22)-TIMEVALUE(F22))*1440,"")</f>
        <v>55</v>
      </c>
      <c r="I22" s="8" t="str">
        <f aca="false">IF(F22&lt;"13:00","בוקר","ערב")</f>
        <v>בוקר</v>
      </c>
      <c r="J22" s="8" t="s">
        <v>132</v>
      </c>
      <c r="K22" s="8" t="s">
        <v>70</v>
      </c>
      <c r="L22" s="8" t="s">
        <v>70</v>
      </c>
      <c r="M22" s="8"/>
      <c r="N22" s="8" t="s">
        <v>129</v>
      </c>
      <c r="O22" s="8" t="s">
        <v>55</v>
      </c>
      <c r="P22" s="8" t="s">
        <v>66</v>
      </c>
      <c r="Q22" s="9"/>
      <c r="R22" s="9"/>
    </row>
    <row r="23" customFormat="false" ht="15" hidden="false" customHeight="false" outlineLevel="0" collapsed="false">
      <c r="A23" s="8" t="s">
        <v>10</v>
      </c>
      <c r="B23" s="8" t="s">
        <v>126</v>
      </c>
      <c r="C23" s="8" t="s">
        <v>11</v>
      </c>
      <c r="D23" s="8" t="s">
        <v>85</v>
      </c>
      <c r="E23" s="8" t="s">
        <v>85</v>
      </c>
      <c r="F23" s="8" t="s">
        <v>139</v>
      </c>
      <c r="G23" s="8" t="s">
        <v>140</v>
      </c>
      <c r="H23" s="8" t="n">
        <f aca="false">IFERROR((TIMEVALUE(G23)-TIMEVALUE(F23))*1440,"")</f>
        <v>55</v>
      </c>
      <c r="I23" s="8" t="str">
        <f aca="false">IF(F23&lt;"13:00","בוקר","ערב")</f>
        <v>ערב</v>
      </c>
      <c r="J23" s="8" t="s">
        <v>141</v>
      </c>
      <c r="K23" s="8" t="s">
        <v>97</v>
      </c>
      <c r="L23" s="8" t="s">
        <v>97</v>
      </c>
      <c r="M23" s="8"/>
      <c r="N23" s="8" t="s">
        <v>98</v>
      </c>
      <c r="O23" s="8" t="s">
        <v>99</v>
      </c>
      <c r="P23" s="8" t="s">
        <v>72</v>
      </c>
      <c r="Q23" s="9"/>
      <c r="R23" s="9"/>
    </row>
    <row r="24" customFormat="false" ht="15" hidden="false" customHeight="false" outlineLevel="0" collapsed="false">
      <c r="A24" s="8" t="s">
        <v>10</v>
      </c>
      <c r="B24" s="8" t="s">
        <v>126</v>
      </c>
      <c r="C24" s="8" t="s">
        <v>11</v>
      </c>
      <c r="D24" s="8" t="s">
        <v>85</v>
      </c>
      <c r="E24" s="8" t="s">
        <v>85</v>
      </c>
      <c r="F24" s="8" t="s">
        <v>80</v>
      </c>
      <c r="G24" s="8" t="s">
        <v>144</v>
      </c>
      <c r="H24" s="8" t="n">
        <f aca="false">IFERROR((TIMEVALUE(G24)-TIMEVALUE(F24))*1440,"")</f>
        <v>55</v>
      </c>
      <c r="I24" s="8" t="str">
        <f aca="false">IF(F24&lt;"13:00","בוקר","ערב")</f>
        <v>ערב</v>
      </c>
      <c r="J24" s="8" t="s">
        <v>145</v>
      </c>
      <c r="K24" s="8" t="s">
        <v>82</v>
      </c>
      <c r="L24" s="8" t="s">
        <v>82</v>
      </c>
      <c r="M24" s="8"/>
      <c r="N24" s="8" t="s">
        <v>146</v>
      </c>
      <c r="O24" s="8" t="s">
        <v>142</v>
      </c>
      <c r="P24" s="8" t="s">
        <v>66</v>
      </c>
      <c r="Q24" s="9"/>
      <c r="R24" s="9"/>
    </row>
    <row r="25" customFormat="false" ht="15" hidden="false" customHeight="false" outlineLevel="0" collapsed="false">
      <c r="A25" s="8" t="s">
        <v>10</v>
      </c>
      <c r="B25" s="8" t="s">
        <v>126</v>
      </c>
      <c r="C25" s="8" t="s">
        <v>11</v>
      </c>
      <c r="D25" s="8" t="s">
        <v>100</v>
      </c>
      <c r="E25" s="8" t="s">
        <v>100</v>
      </c>
      <c r="F25" s="8" t="s">
        <v>130</v>
      </c>
      <c r="G25" s="8" t="s">
        <v>131</v>
      </c>
      <c r="H25" s="8" t="n">
        <f aca="false">IFERROR((TIMEVALUE(G25)-TIMEVALUE(F25))*1440,"")</f>
        <v>55</v>
      </c>
      <c r="I25" s="8" t="str">
        <f aca="false">IF(F25&lt;"13:00","בוקר","ערב")</f>
        <v>בוקר</v>
      </c>
      <c r="J25" s="8" t="s">
        <v>132</v>
      </c>
      <c r="K25" s="8" t="s">
        <v>147</v>
      </c>
      <c r="L25" s="8" t="s">
        <v>147</v>
      </c>
      <c r="M25" s="8"/>
      <c r="N25" s="8" t="s">
        <v>148</v>
      </c>
      <c r="O25" s="8" t="s">
        <v>134</v>
      </c>
      <c r="P25" s="8" t="s">
        <v>72</v>
      </c>
      <c r="Q25" s="9"/>
      <c r="R25" s="9"/>
    </row>
    <row r="26" customFormat="false" ht="15" hidden="false" customHeight="false" outlineLevel="0" collapsed="false">
      <c r="A26" s="8" t="s">
        <v>10</v>
      </c>
      <c r="B26" s="8" t="s">
        <v>126</v>
      </c>
      <c r="C26" s="8" t="s">
        <v>11</v>
      </c>
      <c r="D26" s="8" t="s">
        <v>100</v>
      </c>
      <c r="E26" s="8" t="s">
        <v>100</v>
      </c>
      <c r="F26" s="8" t="s">
        <v>92</v>
      </c>
      <c r="G26" s="8" t="s">
        <v>135</v>
      </c>
      <c r="H26" s="8" t="n">
        <f aca="false">IFERROR((TIMEVALUE(G26)-TIMEVALUE(F26))*1440,"")</f>
        <v>55</v>
      </c>
      <c r="I26" s="8" t="str">
        <f aca="false">IF(F26&lt;"13:00","בוקר","ערב")</f>
        <v>ערב</v>
      </c>
      <c r="J26" s="8" t="s">
        <v>136</v>
      </c>
      <c r="K26" s="8" t="s">
        <v>76</v>
      </c>
      <c r="L26" s="8" t="s">
        <v>76</v>
      </c>
      <c r="M26" s="8"/>
      <c r="N26" s="8" t="s">
        <v>133</v>
      </c>
      <c r="O26" s="8" t="s">
        <v>134</v>
      </c>
      <c r="P26" s="8" t="s">
        <v>72</v>
      </c>
      <c r="Q26" s="9"/>
      <c r="R26" s="9"/>
    </row>
    <row r="27" customFormat="false" ht="15" hidden="false" customHeight="false" outlineLevel="0" collapsed="false">
      <c r="A27" s="8" t="s">
        <v>10</v>
      </c>
      <c r="B27" s="8" t="s">
        <v>126</v>
      </c>
      <c r="C27" s="8" t="s">
        <v>11</v>
      </c>
      <c r="D27" s="8" t="s">
        <v>108</v>
      </c>
      <c r="E27" s="8" t="s">
        <v>108</v>
      </c>
      <c r="F27" s="8" t="s">
        <v>60</v>
      </c>
      <c r="G27" s="8" t="s">
        <v>127</v>
      </c>
      <c r="H27" s="8" t="n">
        <f aca="false">IFERROR((TIMEVALUE(G27)-TIMEVALUE(F27))*1440,"")</f>
        <v>55</v>
      </c>
      <c r="I27" s="8" t="str">
        <f aca="false">IF(F27&lt;"13:00","בוקר","ערב")</f>
        <v>בוקר</v>
      </c>
      <c r="J27" s="8" t="s">
        <v>128</v>
      </c>
      <c r="K27" s="8" t="s">
        <v>63</v>
      </c>
      <c r="L27" s="8" t="s">
        <v>63</v>
      </c>
      <c r="M27" s="8"/>
      <c r="N27" s="8" t="s">
        <v>129</v>
      </c>
      <c r="O27" s="8" t="s">
        <v>55</v>
      </c>
      <c r="P27" s="8" t="s">
        <v>66</v>
      </c>
      <c r="Q27" s="9"/>
      <c r="R27" s="9"/>
    </row>
    <row r="28" customFormat="false" ht="15" hidden="false" customHeight="false" outlineLevel="0" collapsed="false">
      <c r="A28" s="8" t="s">
        <v>10</v>
      </c>
      <c r="B28" s="8" t="s">
        <v>126</v>
      </c>
      <c r="C28" s="8" t="s">
        <v>11</v>
      </c>
      <c r="D28" s="8" t="s">
        <v>108</v>
      </c>
      <c r="E28" s="8" t="s">
        <v>108</v>
      </c>
      <c r="F28" s="8" t="s">
        <v>139</v>
      </c>
      <c r="G28" s="8" t="s">
        <v>140</v>
      </c>
      <c r="H28" s="8" t="n">
        <f aca="false">IFERROR((TIMEVALUE(G28)-TIMEVALUE(F28))*1440,"")</f>
        <v>55</v>
      </c>
      <c r="I28" s="8" t="str">
        <f aca="false">IF(F28&lt;"13:00","בוקר","ערב")</f>
        <v>ערב</v>
      </c>
      <c r="J28" s="8" t="s">
        <v>141</v>
      </c>
      <c r="K28" s="8" t="s">
        <v>149</v>
      </c>
      <c r="L28" s="8" t="s">
        <v>149</v>
      </c>
      <c r="M28" s="8"/>
      <c r="N28" s="8" t="s">
        <v>107</v>
      </c>
      <c r="O28" s="8" t="s">
        <v>150</v>
      </c>
      <c r="P28" s="8" t="s">
        <v>72</v>
      </c>
      <c r="Q28" s="9"/>
      <c r="R28" s="10" t="s">
        <v>151</v>
      </c>
    </row>
    <row r="29" customFormat="false" ht="15" hidden="false" customHeight="false" outlineLevel="0" collapsed="false">
      <c r="A29" s="8" t="s">
        <v>10</v>
      </c>
      <c r="B29" s="8" t="s">
        <v>126</v>
      </c>
      <c r="C29" s="8" t="s">
        <v>11</v>
      </c>
      <c r="D29" s="8" t="s">
        <v>119</v>
      </c>
      <c r="E29" s="8" t="s">
        <v>119</v>
      </c>
      <c r="F29" s="8" t="s">
        <v>130</v>
      </c>
      <c r="G29" s="8" t="s">
        <v>152</v>
      </c>
      <c r="H29" s="8" t="n">
        <f aca="false">IFERROR((TIMEVALUE(G29)-TIMEVALUE(F29))*1440,"")</f>
        <v>45</v>
      </c>
      <c r="I29" s="8" t="str">
        <f aca="false">IF(F29&lt;"13:00","בוקר","ערב")</f>
        <v>בוקר</v>
      </c>
      <c r="J29" s="8" t="s">
        <v>153</v>
      </c>
      <c r="K29" s="8" t="s">
        <v>154</v>
      </c>
      <c r="L29" s="8" t="s">
        <v>154</v>
      </c>
      <c r="M29" s="8"/>
      <c r="N29" s="8" t="s">
        <v>113</v>
      </c>
      <c r="O29" s="8" t="s">
        <v>114</v>
      </c>
      <c r="P29" s="8" t="s">
        <v>66</v>
      </c>
      <c r="Q29" s="9"/>
      <c r="R29" s="9"/>
    </row>
    <row r="30" customFormat="false" ht="15" hidden="false" customHeight="false" outlineLevel="0" collapsed="false">
      <c r="A30" s="8" t="s">
        <v>10</v>
      </c>
      <c r="B30" s="8" t="s">
        <v>126</v>
      </c>
      <c r="C30" s="8" t="s">
        <v>11</v>
      </c>
      <c r="D30" s="8" t="s">
        <v>119</v>
      </c>
      <c r="E30" s="8" t="s">
        <v>119</v>
      </c>
      <c r="F30" s="8" t="s">
        <v>80</v>
      </c>
      <c r="G30" s="8" t="s">
        <v>155</v>
      </c>
      <c r="H30" s="8" t="n">
        <f aca="false">IFERROR((TIMEVALUE(G30)-TIMEVALUE(F30))*1440,"")</f>
        <v>70</v>
      </c>
      <c r="I30" s="8" t="str">
        <f aca="false">IF(F30&lt;"13:00","בוקר","ערב")</f>
        <v>ערב</v>
      </c>
      <c r="J30" s="8" t="s">
        <v>156</v>
      </c>
      <c r="K30" s="8" t="s">
        <v>157</v>
      </c>
      <c r="L30" s="8" t="s">
        <v>157</v>
      </c>
      <c r="M30" s="8"/>
      <c r="N30" s="8" t="s">
        <v>158</v>
      </c>
      <c r="O30" s="8" t="s">
        <v>55</v>
      </c>
      <c r="P30" s="8" t="s">
        <v>72</v>
      </c>
      <c r="Q30" s="9"/>
      <c r="R30" s="10" t="s">
        <v>159</v>
      </c>
    </row>
    <row r="31" customFormat="false" ht="15" hidden="false" customHeight="false" outlineLevel="0" collapsed="false">
      <c r="A31" s="8" t="s">
        <v>10</v>
      </c>
      <c r="B31" s="8" t="s">
        <v>126</v>
      </c>
      <c r="C31" s="8" t="s">
        <v>11</v>
      </c>
      <c r="D31" s="8" t="s">
        <v>124</v>
      </c>
      <c r="E31" s="8" t="s">
        <v>124</v>
      </c>
      <c r="F31" s="8" t="s">
        <v>60</v>
      </c>
      <c r="G31" s="8" t="s">
        <v>127</v>
      </c>
      <c r="H31" s="8" t="n">
        <f aca="false">IFERROR((TIMEVALUE(G31)-TIMEVALUE(F31))*1440,"")</f>
        <v>55</v>
      </c>
      <c r="I31" s="8" t="str">
        <f aca="false">IF(F31&lt;"13:00","בוקר","ערב")</f>
        <v>בוקר</v>
      </c>
      <c r="J31" s="8" t="s">
        <v>128</v>
      </c>
      <c r="K31" s="8" t="s">
        <v>76</v>
      </c>
      <c r="L31" s="8" t="s">
        <v>76</v>
      </c>
      <c r="M31" s="8"/>
      <c r="N31" s="8" t="s">
        <v>133</v>
      </c>
      <c r="O31" s="8" t="s">
        <v>134</v>
      </c>
      <c r="P31" s="8" t="s">
        <v>72</v>
      </c>
      <c r="Q31" s="9"/>
      <c r="R31" s="9"/>
    </row>
    <row r="32" customFormat="false" ht="15" hidden="false" customHeight="false" outlineLevel="0" collapsed="false">
      <c r="A32" s="8" t="s">
        <v>14</v>
      </c>
      <c r="B32" s="8" t="s">
        <v>160</v>
      </c>
      <c r="C32" s="8" t="s">
        <v>15</v>
      </c>
      <c r="D32" s="8" t="s">
        <v>59</v>
      </c>
      <c r="E32" s="8" t="s">
        <v>59</v>
      </c>
      <c r="F32" s="8" t="s">
        <v>60</v>
      </c>
      <c r="G32" s="8"/>
      <c r="H32" s="8" t="str">
        <f aca="false">IFERROR((TIMEVALUE(G32)-TIMEVALUE(F32))*1440,"")</f>
        <v/>
      </c>
      <c r="I32" s="8" t="str">
        <f aca="false">IF(F32&lt;"13:00","בוקר","ערב")</f>
        <v>בוקר</v>
      </c>
      <c r="J32" s="8" t="s">
        <v>161</v>
      </c>
      <c r="K32" s="8" t="s">
        <v>63</v>
      </c>
      <c r="L32" s="8" t="s">
        <v>162</v>
      </c>
      <c r="M32" s="8"/>
      <c r="N32" s="8" t="s">
        <v>163</v>
      </c>
      <c r="O32" s="8" t="s">
        <v>65</v>
      </c>
      <c r="P32" s="8" t="s">
        <v>66</v>
      </c>
      <c r="Q32" s="9"/>
      <c r="R32" s="10" t="s">
        <v>164</v>
      </c>
    </row>
    <row r="33" customFormat="false" ht="15" hidden="false" customHeight="false" outlineLevel="0" collapsed="false">
      <c r="A33" s="8" t="s">
        <v>14</v>
      </c>
      <c r="B33" s="8" t="s">
        <v>160</v>
      </c>
      <c r="C33" s="8" t="s">
        <v>15</v>
      </c>
      <c r="D33" s="8" t="s">
        <v>59</v>
      </c>
      <c r="E33" s="8" t="s">
        <v>59</v>
      </c>
      <c r="F33" s="8" t="s">
        <v>67</v>
      </c>
      <c r="G33" s="8" t="s">
        <v>68</v>
      </c>
      <c r="H33" s="8" t="n">
        <f aca="false">IFERROR((TIMEVALUE(G33)-TIMEVALUE(F33))*1440,"")</f>
        <v>50</v>
      </c>
      <c r="I33" s="8" t="str">
        <f aca="false">IF(F33&lt;"13:00","בוקר","ערב")</f>
        <v>בוקר</v>
      </c>
      <c r="J33" s="8" t="s">
        <v>67</v>
      </c>
      <c r="K33" s="8" t="s">
        <v>76</v>
      </c>
      <c r="L33" s="8" t="s">
        <v>165</v>
      </c>
      <c r="M33" s="8"/>
      <c r="N33" s="8" t="s">
        <v>166</v>
      </c>
      <c r="O33" s="8" t="s">
        <v>78</v>
      </c>
      <c r="P33" s="8" t="s">
        <v>66</v>
      </c>
      <c r="Q33" s="9"/>
      <c r="R33" s="10" t="s">
        <v>167</v>
      </c>
    </row>
    <row r="34" customFormat="false" ht="15" hidden="false" customHeight="false" outlineLevel="0" collapsed="false">
      <c r="A34" s="8" t="s">
        <v>14</v>
      </c>
      <c r="B34" s="8" t="s">
        <v>160</v>
      </c>
      <c r="C34" s="8" t="s">
        <v>15</v>
      </c>
      <c r="D34" s="8" t="s">
        <v>59</v>
      </c>
      <c r="E34" s="8" t="s">
        <v>59</v>
      </c>
      <c r="F34" s="8" t="s">
        <v>73</v>
      </c>
      <c r="G34" s="8" t="s">
        <v>79</v>
      </c>
      <c r="H34" s="8" t="n">
        <f aca="false">IFERROR((TIMEVALUE(G34)-TIMEVALUE(F34))*1440,"")</f>
        <v>60</v>
      </c>
      <c r="I34" s="8" t="str">
        <f aca="false">IF(F34&lt;"13:00","בוקר","ערב")</f>
        <v>ערב</v>
      </c>
      <c r="J34" s="8" t="s">
        <v>168</v>
      </c>
      <c r="K34" s="8" t="s">
        <v>70</v>
      </c>
      <c r="L34" s="8" t="s">
        <v>70</v>
      </c>
      <c r="M34" s="8"/>
      <c r="N34" s="8"/>
      <c r="O34" s="8" t="s">
        <v>78</v>
      </c>
      <c r="P34" s="8" t="s">
        <v>66</v>
      </c>
      <c r="Q34" s="9"/>
      <c r="R34" s="10" t="s">
        <v>169</v>
      </c>
    </row>
    <row r="35" customFormat="false" ht="15" hidden="false" customHeight="false" outlineLevel="0" collapsed="false">
      <c r="A35" s="8" t="s">
        <v>14</v>
      </c>
      <c r="B35" s="8" t="s">
        <v>160</v>
      </c>
      <c r="C35" s="8" t="s">
        <v>15</v>
      </c>
      <c r="D35" s="8" t="s">
        <v>85</v>
      </c>
      <c r="E35" s="8" t="s">
        <v>85</v>
      </c>
      <c r="F35" s="8" t="s">
        <v>86</v>
      </c>
      <c r="G35" s="8"/>
      <c r="H35" s="8" t="str">
        <f aca="false">IFERROR((TIMEVALUE(G35)-TIMEVALUE(F35))*1440,"")</f>
        <v/>
      </c>
      <c r="I35" s="8" t="str">
        <f aca="false">IF(F35&lt;"13:00","בוקר","ערב")</f>
        <v>בוקר</v>
      </c>
      <c r="J35" s="8" t="s">
        <v>170</v>
      </c>
      <c r="K35" s="8" t="s">
        <v>63</v>
      </c>
      <c r="L35" s="8" t="s">
        <v>171</v>
      </c>
      <c r="M35" s="8"/>
      <c r="N35" s="8" t="s">
        <v>163</v>
      </c>
      <c r="O35" s="8" t="s">
        <v>65</v>
      </c>
      <c r="P35" s="8" t="s">
        <v>66</v>
      </c>
      <c r="Q35" s="9"/>
      <c r="R35" s="10" t="s">
        <v>172</v>
      </c>
    </row>
    <row r="36" customFormat="false" ht="15" hidden="false" customHeight="false" outlineLevel="0" collapsed="false">
      <c r="A36" s="8" t="s">
        <v>14</v>
      </c>
      <c r="B36" s="8" t="s">
        <v>160</v>
      </c>
      <c r="C36" s="8" t="s">
        <v>15</v>
      </c>
      <c r="D36" s="8" t="s">
        <v>85</v>
      </c>
      <c r="E36" s="8" t="s">
        <v>85</v>
      </c>
      <c r="F36" s="8" t="s">
        <v>115</v>
      </c>
      <c r="G36" s="8" t="s">
        <v>116</v>
      </c>
      <c r="H36" s="8" t="n">
        <f aca="false">IFERROR((TIMEVALUE(G36)-TIMEVALUE(F36))*1440,"")</f>
        <v>50</v>
      </c>
      <c r="I36" s="8" t="str">
        <f aca="false">IF(F36&lt;"13:00","בוקר","ערב")</f>
        <v>ערב</v>
      </c>
      <c r="J36" s="8" t="s">
        <v>173</v>
      </c>
      <c r="K36" s="8" t="s">
        <v>82</v>
      </c>
      <c r="L36" s="8" t="s">
        <v>82</v>
      </c>
      <c r="M36" s="8"/>
      <c r="N36" s="8" t="s">
        <v>174</v>
      </c>
      <c r="O36" s="8" t="s">
        <v>84</v>
      </c>
      <c r="P36" s="8" t="s">
        <v>66</v>
      </c>
      <c r="Q36" s="9"/>
      <c r="R36" s="10" t="s">
        <v>175</v>
      </c>
    </row>
    <row r="37" customFormat="false" ht="26.85" hidden="false" customHeight="false" outlineLevel="0" collapsed="false">
      <c r="A37" s="8" t="s">
        <v>14</v>
      </c>
      <c r="B37" s="8" t="s">
        <v>160</v>
      </c>
      <c r="C37" s="8" t="s">
        <v>15</v>
      </c>
      <c r="D37" s="8" t="s">
        <v>85</v>
      </c>
      <c r="E37" s="8" t="s">
        <v>85</v>
      </c>
      <c r="F37" s="8" t="s">
        <v>176</v>
      </c>
      <c r="G37" s="8" t="s">
        <v>155</v>
      </c>
      <c r="H37" s="8" t="n">
        <f aca="false">IFERROR((TIMEVALUE(G37)-TIMEVALUE(F37))*1440,"")</f>
        <v>50</v>
      </c>
      <c r="I37" s="8" t="str">
        <f aca="false">IF(F37&lt;"13:00","בוקר","ערב")</f>
        <v>ערב</v>
      </c>
      <c r="J37" s="8" t="s">
        <v>176</v>
      </c>
      <c r="K37" s="8" t="s">
        <v>89</v>
      </c>
      <c r="L37" s="8" t="s">
        <v>177</v>
      </c>
      <c r="M37" s="8"/>
      <c r="N37" s="8" t="s">
        <v>118</v>
      </c>
      <c r="O37" s="8" t="s">
        <v>91</v>
      </c>
      <c r="P37" s="8" t="s">
        <v>72</v>
      </c>
      <c r="Q37" s="9" t="s">
        <v>178</v>
      </c>
      <c r="R37" s="10" t="s">
        <v>179</v>
      </c>
    </row>
    <row r="38" customFormat="false" ht="15" hidden="false" customHeight="false" outlineLevel="0" collapsed="false">
      <c r="A38" s="8" t="s">
        <v>14</v>
      </c>
      <c r="B38" s="8" t="s">
        <v>160</v>
      </c>
      <c r="C38" s="8" t="s">
        <v>15</v>
      </c>
      <c r="D38" s="8" t="s">
        <v>100</v>
      </c>
      <c r="E38" s="8" t="s">
        <v>100</v>
      </c>
      <c r="F38" s="8" t="s">
        <v>87</v>
      </c>
      <c r="G38" s="8" t="s">
        <v>101</v>
      </c>
      <c r="H38" s="8" t="n">
        <f aca="false">IFERROR((TIMEVALUE(G38)-TIMEVALUE(F38))*1440,"")</f>
        <v>50</v>
      </c>
      <c r="I38" s="8" t="str">
        <f aca="false">IF(F38&lt;"13:00","בוקר","ערב")</f>
        <v>בוקר</v>
      </c>
      <c r="J38" s="8" t="s">
        <v>180</v>
      </c>
      <c r="K38" s="8" t="s">
        <v>97</v>
      </c>
      <c r="L38" s="8" t="s">
        <v>97</v>
      </c>
      <c r="M38" s="8"/>
      <c r="N38" s="8" t="s">
        <v>98</v>
      </c>
      <c r="O38" s="8" t="s">
        <v>99</v>
      </c>
      <c r="P38" s="8" t="s">
        <v>72</v>
      </c>
      <c r="Q38" s="9"/>
      <c r="R38" s="9"/>
    </row>
    <row r="39" customFormat="false" ht="15" hidden="false" customHeight="false" outlineLevel="0" collapsed="false">
      <c r="A39" s="8" t="s">
        <v>14</v>
      </c>
      <c r="B39" s="8" t="s">
        <v>160</v>
      </c>
      <c r="C39" s="8" t="s">
        <v>15</v>
      </c>
      <c r="D39" s="8" t="s">
        <v>100</v>
      </c>
      <c r="E39" s="8" t="s">
        <v>100</v>
      </c>
      <c r="F39" s="8" t="s">
        <v>181</v>
      </c>
      <c r="G39" s="8" t="s">
        <v>73</v>
      </c>
      <c r="H39" s="8" t="n">
        <f aca="false">IFERROR((TIMEVALUE(G39)-TIMEVALUE(F39))*1440,"")</f>
        <v>60</v>
      </c>
      <c r="I39" s="8" t="str">
        <f aca="false">IF(F39&lt;"13:00","בוקר","ערב")</f>
        <v>ערב</v>
      </c>
      <c r="J39" s="8" t="s">
        <v>182</v>
      </c>
      <c r="K39" s="8" t="s">
        <v>95</v>
      </c>
      <c r="L39" s="8" t="s">
        <v>95</v>
      </c>
      <c r="M39" s="8"/>
      <c r="N39" s="8" t="s">
        <v>166</v>
      </c>
      <c r="O39" s="8" t="s">
        <v>78</v>
      </c>
      <c r="P39" s="8" t="s">
        <v>66</v>
      </c>
      <c r="Q39" s="9"/>
      <c r="R39" s="10" t="s">
        <v>183</v>
      </c>
    </row>
    <row r="40" customFormat="false" ht="15" hidden="false" customHeight="false" outlineLevel="0" collapsed="false">
      <c r="A40" s="8" t="s">
        <v>14</v>
      </c>
      <c r="B40" s="8" t="s">
        <v>160</v>
      </c>
      <c r="C40" s="8" t="s">
        <v>15</v>
      </c>
      <c r="D40" s="8" t="s">
        <v>100</v>
      </c>
      <c r="E40" s="8" t="s">
        <v>100</v>
      </c>
      <c r="F40" s="8" t="s">
        <v>181</v>
      </c>
      <c r="G40" s="8" t="s">
        <v>73</v>
      </c>
      <c r="H40" s="8" t="n">
        <f aca="false">IFERROR((TIMEVALUE(G40)-TIMEVALUE(F40))*1440,"")</f>
        <v>60</v>
      </c>
      <c r="I40" s="8" t="str">
        <f aca="false">IF(F40&lt;"13:00","בוקר","ערב")</f>
        <v>ערב</v>
      </c>
      <c r="J40" s="8" t="s">
        <v>184</v>
      </c>
      <c r="K40" s="8" t="s">
        <v>95</v>
      </c>
      <c r="L40" s="8" t="s">
        <v>95</v>
      </c>
      <c r="M40" s="8"/>
      <c r="N40" s="8" t="s">
        <v>166</v>
      </c>
      <c r="O40" s="8" t="s">
        <v>78</v>
      </c>
      <c r="P40" s="8" t="s">
        <v>66</v>
      </c>
      <c r="Q40" s="9" t="s">
        <v>185</v>
      </c>
      <c r="R40" s="10" t="s">
        <v>186</v>
      </c>
    </row>
    <row r="41" customFormat="false" ht="15" hidden="false" customHeight="false" outlineLevel="0" collapsed="false">
      <c r="A41" s="8" t="s">
        <v>14</v>
      </c>
      <c r="B41" s="8" t="s">
        <v>160</v>
      </c>
      <c r="C41" s="8" t="s">
        <v>15</v>
      </c>
      <c r="D41" s="8" t="s">
        <v>108</v>
      </c>
      <c r="E41" s="8" t="s">
        <v>108</v>
      </c>
      <c r="F41" s="8" t="s">
        <v>109</v>
      </c>
      <c r="G41" s="8" t="s">
        <v>110</v>
      </c>
      <c r="H41" s="8" t="n">
        <f aca="false">IFERROR((TIMEVALUE(G41)-TIMEVALUE(F41))*1440,"")</f>
        <v>45</v>
      </c>
      <c r="I41" s="8" t="str">
        <f aca="false">IF(F41&lt;"13:00","בוקר","ערב")</f>
        <v>בוקר</v>
      </c>
      <c r="J41" s="8" t="s">
        <v>109</v>
      </c>
      <c r="K41" s="8" t="s">
        <v>112</v>
      </c>
      <c r="L41" s="8" t="s">
        <v>112</v>
      </c>
      <c r="M41" s="8"/>
      <c r="N41" s="8" t="s">
        <v>113</v>
      </c>
      <c r="O41" s="8" t="s">
        <v>114</v>
      </c>
      <c r="P41" s="8" t="s">
        <v>66</v>
      </c>
      <c r="Q41" s="9"/>
      <c r="R41" s="9"/>
    </row>
    <row r="42" customFormat="false" ht="15" hidden="false" customHeight="false" outlineLevel="0" collapsed="false">
      <c r="A42" s="8" t="s">
        <v>14</v>
      </c>
      <c r="B42" s="8" t="s">
        <v>160</v>
      </c>
      <c r="C42" s="8" t="s">
        <v>15</v>
      </c>
      <c r="D42" s="8" t="s">
        <v>108</v>
      </c>
      <c r="E42" s="8" t="s">
        <v>108</v>
      </c>
      <c r="F42" s="8" t="s">
        <v>103</v>
      </c>
      <c r="G42" s="8" t="s">
        <v>187</v>
      </c>
      <c r="H42" s="8" t="n">
        <f aca="false">IFERROR((TIMEVALUE(G42)-TIMEVALUE(F42))*1440,"")</f>
        <v>60</v>
      </c>
      <c r="I42" s="8" t="str">
        <f aca="false">IF(F42&lt;"13:00","בוקר","ערב")</f>
        <v>ערב</v>
      </c>
      <c r="J42" s="8" t="s">
        <v>103</v>
      </c>
      <c r="K42" s="8" t="s">
        <v>188</v>
      </c>
      <c r="L42" s="8" t="s">
        <v>188</v>
      </c>
      <c r="M42" s="8"/>
      <c r="N42" s="8" t="s">
        <v>107</v>
      </c>
      <c r="O42" s="8"/>
      <c r="P42" s="8" t="s">
        <v>72</v>
      </c>
      <c r="Q42" s="9"/>
      <c r="R42" s="10" t="s">
        <v>189</v>
      </c>
    </row>
    <row r="43" customFormat="false" ht="15" hidden="false" customHeight="false" outlineLevel="0" collapsed="false">
      <c r="A43" s="8" t="s">
        <v>14</v>
      </c>
      <c r="B43" s="8" t="s">
        <v>160</v>
      </c>
      <c r="C43" s="8" t="s">
        <v>15</v>
      </c>
      <c r="D43" s="8" t="s">
        <v>119</v>
      </c>
      <c r="E43" s="8" t="s">
        <v>119</v>
      </c>
      <c r="F43" s="8" t="s">
        <v>67</v>
      </c>
      <c r="G43" s="8" t="s">
        <v>110</v>
      </c>
      <c r="H43" s="8" t="n">
        <f aca="false">IFERROR((TIMEVALUE(G43)-TIMEVALUE(F43))*1440,"")</f>
        <v>60</v>
      </c>
      <c r="I43" s="8" t="str">
        <f aca="false">IF(F43&lt;"13:00","בוקר","ערב")</f>
        <v>בוקר</v>
      </c>
      <c r="J43" s="8" t="s">
        <v>190</v>
      </c>
      <c r="K43" s="8" t="s">
        <v>147</v>
      </c>
      <c r="L43" s="8" t="s">
        <v>147</v>
      </c>
      <c r="M43" s="8"/>
      <c r="N43" s="8" t="s">
        <v>148</v>
      </c>
      <c r="O43" s="8" t="s">
        <v>91</v>
      </c>
      <c r="P43" s="8" t="s">
        <v>72</v>
      </c>
      <c r="Q43" s="9"/>
      <c r="R43" s="9"/>
    </row>
    <row r="44" customFormat="false" ht="15" hidden="false" customHeight="false" outlineLevel="0" collapsed="false">
      <c r="A44" s="8" t="s">
        <v>14</v>
      </c>
      <c r="B44" s="8" t="s">
        <v>160</v>
      </c>
      <c r="C44" s="8" t="s">
        <v>15</v>
      </c>
      <c r="D44" s="8" t="s">
        <v>119</v>
      </c>
      <c r="E44" s="8" t="s">
        <v>119</v>
      </c>
      <c r="F44" s="8" t="s">
        <v>79</v>
      </c>
      <c r="G44" s="8" t="s">
        <v>116</v>
      </c>
      <c r="H44" s="8" t="n">
        <f aca="false">IFERROR((TIMEVALUE(G44)-TIMEVALUE(F44))*1440,"")</f>
        <v>60</v>
      </c>
      <c r="I44" s="8" t="str">
        <f aca="false">IF(F44&lt;"13:00","בוקר","ערב")</f>
        <v>ערב</v>
      </c>
      <c r="J44" s="8" t="s">
        <v>191</v>
      </c>
      <c r="K44" s="8" t="s">
        <v>76</v>
      </c>
      <c r="L44" s="8" t="s">
        <v>76</v>
      </c>
      <c r="M44" s="8"/>
      <c r="N44" s="8" t="s">
        <v>166</v>
      </c>
      <c r="O44" s="8" t="s">
        <v>78</v>
      </c>
      <c r="P44" s="8" t="s">
        <v>72</v>
      </c>
      <c r="Q44" s="9"/>
      <c r="R44" s="9"/>
    </row>
    <row r="45" customFormat="false" ht="15" hidden="false" customHeight="false" outlineLevel="0" collapsed="false">
      <c r="A45" s="8" t="s">
        <v>14</v>
      </c>
      <c r="B45" s="8" t="s">
        <v>160</v>
      </c>
      <c r="C45" s="8" t="s">
        <v>15</v>
      </c>
      <c r="D45" s="8" t="s">
        <v>124</v>
      </c>
      <c r="E45" s="8" t="s">
        <v>124</v>
      </c>
      <c r="F45" s="8" t="s">
        <v>87</v>
      </c>
      <c r="G45" s="8" t="s">
        <v>101</v>
      </c>
      <c r="H45" s="8" t="n">
        <f aca="false">IFERROR((TIMEVALUE(G45)-TIMEVALUE(F45))*1440,"")</f>
        <v>50</v>
      </c>
      <c r="I45" s="8" t="str">
        <f aca="false">IF(F45&lt;"13:00","בוקר","ערב")</f>
        <v>בוקר</v>
      </c>
      <c r="J45" s="8" t="s">
        <v>87</v>
      </c>
      <c r="K45" s="8" t="s">
        <v>192</v>
      </c>
      <c r="L45" s="8" t="s">
        <v>192</v>
      </c>
      <c r="M45" s="8"/>
      <c r="N45" s="8" t="s">
        <v>174</v>
      </c>
      <c r="O45" s="8" t="s">
        <v>84</v>
      </c>
      <c r="P45" s="8" t="s">
        <v>66</v>
      </c>
      <c r="Q45" s="9"/>
      <c r="R45" s="9"/>
    </row>
    <row r="46" customFormat="false" ht="15" hidden="false" customHeight="false" outlineLevel="0" collapsed="false">
      <c r="A46" s="8" t="s">
        <v>18</v>
      </c>
      <c r="B46" s="8" t="s">
        <v>193</v>
      </c>
      <c r="C46" s="8" t="s">
        <v>19</v>
      </c>
      <c r="D46" s="8" t="s">
        <v>59</v>
      </c>
      <c r="E46" s="8" t="s">
        <v>194</v>
      </c>
      <c r="F46" s="8" t="s">
        <v>86</v>
      </c>
      <c r="G46" s="8" t="s">
        <v>87</v>
      </c>
      <c r="H46" s="8" t="n">
        <f aca="false">IFERROR((TIMEVALUE(G46)-TIMEVALUE(F46))*1440,"")</f>
        <v>50</v>
      </c>
      <c r="I46" s="8" t="str">
        <f aca="false">IF(F46&lt;"13:00","בוקר","ערב")</f>
        <v>בוקר</v>
      </c>
      <c r="J46" s="8" t="s">
        <v>195</v>
      </c>
      <c r="K46" s="8" t="s">
        <v>63</v>
      </c>
      <c r="L46" s="8" t="s">
        <v>196</v>
      </c>
      <c r="M46" s="8" t="s">
        <v>197</v>
      </c>
      <c r="N46" s="8" t="s">
        <v>198</v>
      </c>
      <c r="O46" s="8" t="s">
        <v>199</v>
      </c>
      <c r="P46" s="8" t="s">
        <v>200</v>
      </c>
      <c r="Q46" s="9"/>
      <c r="R46" s="10" t="s">
        <v>201</v>
      </c>
    </row>
    <row r="47" customFormat="false" ht="15" hidden="false" customHeight="false" outlineLevel="0" collapsed="false">
      <c r="A47" s="8" t="s">
        <v>18</v>
      </c>
      <c r="B47" s="8" t="s">
        <v>193</v>
      </c>
      <c r="C47" s="8" t="s">
        <v>19</v>
      </c>
      <c r="D47" s="8" t="s">
        <v>59</v>
      </c>
      <c r="E47" s="8" t="s">
        <v>194</v>
      </c>
      <c r="F47" s="8" t="s">
        <v>67</v>
      </c>
      <c r="G47" s="8" t="s">
        <v>68</v>
      </c>
      <c r="H47" s="8" t="n">
        <f aca="false">IFERROR((TIMEVALUE(G47)-TIMEVALUE(F47))*1440,"")</f>
        <v>50</v>
      </c>
      <c r="I47" s="8" t="str">
        <f aca="false">IF(F47&lt;"13:00","בוקר","ערב")</f>
        <v>בוקר</v>
      </c>
      <c r="J47" s="8" t="s">
        <v>202</v>
      </c>
      <c r="K47" s="8" t="s">
        <v>76</v>
      </c>
      <c r="L47" s="8" t="s">
        <v>203</v>
      </c>
      <c r="M47" s="8" t="s">
        <v>204</v>
      </c>
      <c r="N47" s="8" t="s">
        <v>205</v>
      </c>
      <c r="O47" s="8" t="s">
        <v>206</v>
      </c>
      <c r="P47" s="8" t="s">
        <v>207</v>
      </c>
      <c r="Q47" s="9"/>
      <c r="R47" s="9"/>
    </row>
    <row r="48" customFormat="false" ht="15" hidden="false" customHeight="false" outlineLevel="0" collapsed="false">
      <c r="A48" s="8" t="s">
        <v>18</v>
      </c>
      <c r="B48" s="8" t="s">
        <v>193</v>
      </c>
      <c r="C48" s="8" t="s">
        <v>19</v>
      </c>
      <c r="D48" s="8" t="s">
        <v>59</v>
      </c>
      <c r="E48" s="8" t="s">
        <v>194</v>
      </c>
      <c r="F48" s="8" t="s">
        <v>120</v>
      </c>
      <c r="G48" s="8" t="s">
        <v>121</v>
      </c>
      <c r="H48" s="8" t="n">
        <f aca="false">IFERROR((TIMEVALUE(G48)-TIMEVALUE(F48))*1440,"")</f>
        <v>50</v>
      </c>
      <c r="I48" s="8" t="str">
        <f aca="false">IF(F48&lt;"13:00","בוקר","ערב")</f>
        <v>ערב</v>
      </c>
      <c r="J48" s="8" t="s">
        <v>208</v>
      </c>
      <c r="K48" s="8" t="s">
        <v>209</v>
      </c>
      <c r="L48" s="8" t="s">
        <v>210</v>
      </c>
      <c r="M48" s="8" t="s">
        <v>211</v>
      </c>
      <c r="N48" s="8" t="s">
        <v>212</v>
      </c>
      <c r="O48" s="8" t="s">
        <v>213</v>
      </c>
      <c r="P48" s="8" t="s">
        <v>207</v>
      </c>
      <c r="Q48" s="9"/>
      <c r="R48" s="9"/>
    </row>
    <row r="49" customFormat="false" ht="15" hidden="false" customHeight="false" outlineLevel="0" collapsed="false">
      <c r="A49" s="8" t="s">
        <v>18</v>
      </c>
      <c r="B49" s="8" t="s">
        <v>193</v>
      </c>
      <c r="C49" s="8" t="s">
        <v>19</v>
      </c>
      <c r="D49" s="8" t="s">
        <v>85</v>
      </c>
      <c r="E49" s="8" t="s">
        <v>214</v>
      </c>
      <c r="F49" s="8" t="s">
        <v>87</v>
      </c>
      <c r="G49" s="8" t="s">
        <v>101</v>
      </c>
      <c r="H49" s="8" t="n">
        <f aca="false">IFERROR((TIMEVALUE(G49)-TIMEVALUE(F49))*1440,"")</f>
        <v>50</v>
      </c>
      <c r="I49" s="8" t="str">
        <f aca="false">IF(F49&lt;"13:00","בוקר","ערב")</f>
        <v>בוקר</v>
      </c>
      <c r="J49" s="8" t="s">
        <v>215</v>
      </c>
      <c r="K49" s="8" t="s">
        <v>97</v>
      </c>
      <c r="L49" s="8" t="s">
        <v>216</v>
      </c>
      <c r="M49" s="8" t="s">
        <v>217</v>
      </c>
      <c r="N49" s="8" t="s">
        <v>218</v>
      </c>
      <c r="O49" s="8" t="s">
        <v>219</v>
      </c>
      <c r="P49" s="8" t="s">
        <v>207</v>
      </c>
      <c r="Q49" s="9" t="s">
        <v>220</v>
      </c>
      <c r="R49" s="10" t="s">
        <v>221</v>
      </c>
    </row>
    <row r="50" customFormat="false" ht="15" hidden="false" customHeight="false" outlineLevel="0" collapsed="false">
      <c r="A50" s="8" t="s">
        <v>18</v>
      </c>
      <c r="B50" s="8" t="s">
        <v>193</v>
      </c>
      <c r="C50" s="8" t="s">
        <v>19</v>
      </c>
      <c r="D50" s="8" t="s">
        <v>85</v>
      </c>
      <c r="E50" s="8" t="s">
        <v>214</v>
      </c>
      <c r="F50" s="8" t="s">
        <v>115</v>
      </c>
      <c r="G50" s="8" t="s">
        <v>116</v>
      </c>
      <c r="H50" s="8" t="n">
        <f aca="false">IFERROR((TIMEVALUE(G50)-TIMEVALUE(F50))*1440,"")</f>
        <v>50</v>
      </c>
      <c r="I50" s="8" t="str">
        <f aca="false">IF(F50&lt;"13:00","בוקר","ערב")</f>
        <v>ערב</v>
      </c>
      <c r="J50" s="8" t="s">
        <v>222</v>
      </c>
      <c r="K50" s="8" t="s">
        <v>82</v>
      </c>
      <c r="L50" s="8" t="s">
        <v>223</v>
      </c>
      <c r="M50" s="8" t="s">
        <v>224</v>
      </c>
      <c r="N50" s="8" t="s">
        <v>225</v>
      </c>
      <c r="O50" s="8" t="s">
        <v>213</v>
      </c>
      <c r="P50" s="8" t="s">
        <v>200</v>
      </c>
      <c r="Q50" s="9"/>
      <c r="R50" s="9"/>
    </row>
    <row r="51" customFormat="false" ht="15" hidden="false" customHeight="false" outlineLevel="0" collapsed="false">
      <c r="A51" s="8" t="s">
        <v>18</v>
      </c>
      <c r="B51" s="8" t="s">
        <v>193</v>
      </c>
      <c r="C51" s="8" t="s">
        <v>19</v>
      </c>
      <c r="D51" s="8" t="s">
        <v>100</v>
      </c>
      <c r="E51" s="8" t="s">
        <v>226</v>
      </c>
      <c r="F51" s="8" t="s">
        <v>109</v>
      </c>
      <c r="G51" s="8" t="s">
        <v>110</v>
      </c>
      <c r="H51" s="8" t="n">
        <f aca="false">IFERROR((TIMEVALUE(G51)-TIMEVALUE(F51))*1440,"")</f>
        <v>45</v>
      </c>
      <c r="I51" s="8" t="str">
        <f aca="false">IF(F51&lt;"13:00","בוקר","ערב")</f>
        <v>בוקר</v>
      </c>
      <c r="J51" s="8" t="s">
        <v>227</v>
      </c>
      <c r="K51" s="8" t="s">
        <v>112</v>
      </c>
      <c r="L51" s="8" t="s">
        <v>228</v>
      </c>
      <c r="M51" s="8" t="s">
        <v>229</v>
      </c>
      <c r="N51" s="8" t="s">
        <v>230</v>
      </c>
      <c r="O51" s="8" t="s">
        <v>231</v>
      </c>
      <c r="P51" s="8" t="s">
        <v>200</v>
      </c>
      <c r="Q51" s="9"/>
      <c r="R51" s="9"/>
    </row>
    <row r="52" customFormat="false" ht="15" hidden="false" customHeight="false" outlineLevel="0" collapsed="false">
      <c r="A52" s="8" t="s">
        <v>18</v>
      </c>
      <c r="B52" s="8" t="s">
        <v>193</v>
      </c>
      <c r="C52" s="8" t="s">
        <v>19</v>
      </c>
      <c r="D52" s="8" t="s">
        <v>100</v>
      </c>
      <c r="E52" s="8" t="s">
        <v>226</v>
      </c>
      <c r="F52" s="8" t="s">
        <v>103</v>
      </c>
      <c r="G52" s="8" t="s">
        <v>104</v>
      </c>
      <c r="H52" s="8" t="n">
        <f aca="false">IFERROR((TIMEVALUE(G52)-TIMEVALUE(F52))*1440,"")</f>
        <v>50</v>
      </c>
      <c r="I52" s="8" t="str">
        <f aca="false">IF(F52&lt;"13:00","בוקר","ערב")</f>
        <v>ערב</v>
      </c>
      <c r="J52" s="8" t="s">
        <v>232</v>
      </c>
      <c r="K52" s="8" t="s">
        <v>233</v>
      </c>
      <c r="L52" s="8" t="s">
        <v>234</v>
      </c>
      <c r="M52" s="8" t="s">
        <v>235</v>
      </c>
      <c r="N52" s="8" t="s">
        <v>236</v>
      </c>
      <c r="O52" s="8" t="s">
        <v>199</v>
      </c>
      <c r="P52" s="8" t="s">
        <v>207</v>
      </c>
      <c r="Q52" s="9" t="s">
        <v>237</v>
      </c>
      <c r="R52" s="10" t="s">
        <v>238</v>
      </c>
    </row>
    <row r="53" customFormat="false" ht="15" hidden="false" customHeight="false" outlineLevel="0" collapsed="false">
      <c r="A53" s="8" t="s">
        <v>18</v>
      </c>
      <c r="B53" s="8" t="s">
        <v>193</v>
      </c>
      <c r="C53" s="8" t="s">
        <v>19</v>
      </c>
      <c r="D53" s="8" t="s">
        <v>108</v>
      </c>
      <c r="E53" s="8" t="s">
        <v>239</v>
      </c>
      <c r="F53" s="8" t="s">
        <v>87</v>
      </c>
      <c r="G53" s="8" t="s">
        <v>101</v>
      </c>
      <c r="H53" s="8" t="n">
        <f aca="false">IFERROR((TIMEVALUE(G53)-TIMEVALUE(F53))*1440,"")</f>
        <v>50</v>
      </c>
      <c r="I53" s="8" t="str">
        <f aca="false">IF(F53&lt;"13:00","בוקר","ערב")</f>
        <v>בוקר</v>
      </c>
      <c r="J53" s="8" t="s">
        <v>215</v>
      </c>
      <c r="K53" s="8" t="s">
        <v>76</v>
      </c>
      <c r="L53" s="8" t="s">
        <v>203</v>
      </c>
      <c r="M53" s="8" t="s">
        <v>204</v>
      </c>
      <c r="N53" s="8" t="s">
        <v>205</v>
      </c>
      <c r="O53" s="8" t="s">
        <v>206</v>
      </c>
      <c r="P53" s="8" t="s">
        <v>207</v>
      </c>
      <c r="Q53" s="9"/>
      <c r="R53" s="9"/>
    </row>
    <row r="54" customFormat="false" ht="15" hidden="false" customHeight="false" outlineLevel="0" collapsed="false">
      <c r="A54" s="8" t="s">
        <v>18</v>
      </c>
      <c r="B54" s="8" t="s">
        <v>193</v>
      </c>
      <c r="C54" s="8" t="s">
        <v>19</v>
      </c>
      <c r="D54" s="8" t="s">
        <v>108</v>
      </c>
      <c r="E54" s="8" t="s">
        <v>239</v>
      </c>
      <c r="F54" s="8" t="s">
        <v>79</v>
      </c>
      <c r="G54" s="8" t="s">
        <v>80</v>
      </c>
      <c r="H54" s="8" t="n">
        <f aca="false">IFERROR((TIMEVALUE(G54)-TIMEVALUE(F54))*1440,"")</f>
        <v>50</v>
      </c>
      <c r="I54" s="8" t="str">
        <f aca="false">IF(F54&lt;"13:00","בוקר","ערב")</f>
        <v>ערב</v>
      </c>
      <c r="J54" s="8" t="s">
        <v>240</v>
      </c>
      <c r="K54" s="8" t="s">
        <v>106</v>
      </c>
      <c r="L54" s="8" t="s">
        <v>241</v>
      </c>
      <c r="M54" s="8" t="s">
        <v>242</v>
      </c>
      <c r="N54" s="8" t="s">
        <v>243</v>
      </c>
      <c r="O54" s="8" t="s">
        <v>244</v>
      </c>
      <c r="P54" s="8" t="s">
        <v>207</v>
      </c>
      <c r="Q54" s="9"/>
      <c r="R54" s="9"/>
    </row>
    <row r="55" customFormat="false" ht="15" hidden="false" customHeight="false" outlineLevel="0" collapsed="false">
      <c r="A55" s="8" t="s">
        <v>18</v>
      </c>
      <c r="B55" s="8" t="s">
        <v>193</v>
      </c>
      <c r="C55" s="8" t="s">
        <v>19</v>
      </c>
      <c r="D55" s="8" t="s">
        <v>119</v>
      </c>
      <c r="E55" s="8" t="s">
        <v>245</v>
      </c>
      <c r="F55" s="8" t="s">
        <v>86</v>
      </c>
      <c r="G55" s="8" t="s">
        <v>87</v>
      </c>
      <c r="H55" s="8" t="n">
        <f aca="false">IFERROR((TIMEVALUE(G55)-TIMEVALUE(F55))*1440,"")</f>
        <v>50</v>
      </c>
      <c r="I55" s="8" t="str">
        <f aca="false">IF(F55&lt;"13:00","בוקר","ערב")</f>
        <v>בוקר</v>
      </c>
      <c r="J55" s="8" t="s">
        <v>195</v>
      </c>
      <c r="K55" s="8" t="s">
        <v>63</v>
      </c>
      <c r="L55" s="8" t="s">
        <v>196</v>
      </c>
      <c r="M55" s="8" t="s">
        <v>197</v>
      </c>
      <c r="N55" s="8" t="s">
        <v>198</v>
      </c>
      <c r="O55" s="8" t="s">
        <v>199</v>
      </c>
      <c r="P55" s="8" t="s">
        <v>200</v>
      </c>
      <c r="Q55" s="9"/>
      <c r="R55" s="9"/>
    </row>
    <row r="56" customFormat="false" ht="15" hidden="false" customHeight="false" outlineLevel="0" collapsed="false">
      <c r="A56" s="8" t="s">
        <v>18</v>
      </c>
      <c r="B56" s="8" t="s">
        <v>193</v>
      </c>
      <c r="C56" s="8" t="s">
        <v>19</v>
      </c>
      <c r="D56" s="8" t="s">
        <v>119</v>
      </c>
      <c r="E56" s="8" t="s">
        <v>245</v>
      </c>
      <c r="F56" s="8" t="s">
        <v>120</v>
      </c>
      <c r="G56" s="8" t="s">
        <v>121</v>
      </c>
      <c r="H56" s="8" t="n">
        <f aca="false">IFERROR((TIMEVALUE(G56)-TIMEVALUE(F56))*1440,"")</f>
        <v>50</v>
      </c>
      <c r="I56" s="8" t="str">
        <f aca="false">IF(F56&lt;"13:00","בוקר","ערב")</f>
        <v>ערב</v>
      </c>
      <c r="J56" s="8" t="s">
        <v>208</v>
      </c>
      <c r="K56" s="8" t="s">
        <v>70</v>
      </c>
      <c r="L56" s="8" t="s">
        <v>246</v>
      </c>
      <c r="M56" s="8" t="s">
        <v>247</v>
      </c>
      <c r="N56" s="8" t="s">
        <v>248</v>
      </c>
      <c r="O56" s="8" t="s">
        <v>206</v>
      </c>
      <c r="P56" s="8" t="s">
        <v>200</v>
      </c>
      <c r="Q56" s="9"/>
      <c r="R56" s="9"/>
    </row>
    <row r="57" customFormat="false" ht="15" hidden="false" customHeight="false" outlineLevel="0" collapsed="false">
      <c r="A57" s="8" t="s">
        <v>18</v>
      </c>
      <c r="B57" s="8" t="s">
        <v>193</v>
      </c>
      <c r="C57" s="8" t="s">
        <v>19</v>
      </c>
      <c r="D57" s="8" t="s">
        <v>124</v>
      </c>
      <c r="E57" s="8" t="s">
        <v>249</v>
      </c>
      <c r="F57" s="8" t="s">
        <v>87</v>
      </c>
      <c r="G57" s="8" t="s">
        <v>101</v>
      </c>
      <c r="H57" s="8" t="n">
        <f aca="false">IFERROR((TIMEVALUE(G57)-TIMEVALUE(F57))*1440,"")</f>
        <v>50</v>
      </c>
      <c r="I57" s="8" t="str">
        <f aca="false">IF(F57&lt;"13:00","בוקר","ערב")</f>
        <v>בוקר</v>
      </c>
      <c r="J57" s="8" t="s">
        <v>215</v>
      </c>
      <c r="K57" s="8" t="s">
        <v>89</v>
      </c>
      <c r="L57" s="8" t="s">
        <v>250</v>
      </c>
      <c r="M57" s="8" t="s">
        <v>251</v>
      </c>
      <c r="N57" s="8" t="s">
        <v>252</v>
      </c>
      <c r="O57" s="8" t="s">
        <v>213</v>
      </c>
      <c r="P57" s="8" t="s">
        <v>207</v>
      </c>
      <c r="Q57" s="9"/>
      <c r="R57" s="9"/>
    </row>
    <row r="58" customFormat="false" ht="15" hidden="false" customHeight="false" outlineLevel="0" collapsed="false">
      <c r="A58" s="8" t="s">
        <v>22</v>
      </c>
      <c r="B58" s="8" t="s">
        <v>253</v>
      </c>
      <c r="C58" s="8" t="s">
        <v>23</v>
      </c>
      <c r="D58" s="8" t="s">
        <v>59</v>
      </c>
      <c r="E58" s="8" t="s">
        <v>59</v>
      </c>
      <c r="F58" s="8" t="s">
        <v>67</v>
      </c>
      <c r="G58" s="8" t="s">
        <v>68</v>
      </c>
      <c r="H58" s="8" t="n">
        <f aca="false">IFERROR((TIMEVALUE(G58)-TIMEVALUE(F58))*1440,"")</f>
        <v>50</v>
      </c>
      <c r="I58" s="8" t="str">
        <f aca="false">IF(F58&lt;"13:00","בוקר","ערב")</f>
        <v>בוקר</v>
      </c>
      <c r="J58" s="8" t="s">
        <v>69</v>
      </c>
      <c r="K58" s="8" t="s">
        <v>76</v>
      </c>
      <c r="L58" s="8" t="s">
        <v>76</v>
      </c>
      <c r="M58" s="8"/>
      <c r="N58" s="8" t="s">
        <v>77</v>
      </c>
      <c r="O58" s="8" t="s">
        <v>84</v>
      </c>
      <c r="P58" s="8" t="s">
        <v>66</v>
      </c>
      <c r="Q58" s="9" t="s">
        <v>254</v>
      </c>
      <c r="R58" s="9"/>
    </row>
    <row r="59" customFormat="false" ht="15" hidden="false" customHeight="false" outlineLevel="0" collapsed="false">
      <c r="A59" s="8" t="s">
        <v>22</v>
      </c>
      <c r="B59" s="8" t="s">
        <v>253</v>
      </c>
      <c r="C59" s="8" t="s">
        <v>23</v>
      </c>
      <c r="D59" s="8" t="s">
        <v>59</v>
      </c>
      <c r="E59" s="8" t="s">
        <v>59</v>
      </c>
      <c r="F59" s="8" t="s">
        <v>255</v>
      </c>
      <c r="G59" s="8" t="s">
        <v>256</v>
      </c>
      <c r="H59" s="8" t="n">
        <f aca="false">IFERROR((TIMEVALUE(G59)-TIMEVALUE(F59))*1440,"")</f>
        <v>50</v>
      </c>
      <c r="I59" s="8" t="str">
        <f aca="false">IF(F59&lt;"13:00","בוקר","ערב")</f>
        <v>ערב</v>
      </c>
      <c r="J59" s="8" t="s">
        <v>257</v>
      </c>
      <c r="K59" s="8" t="s">
        <v>70</v>
      </c>
      <c r="L59" s="8" t="s">
        <v>70</v>
      </c>
      <c r="M59" s="8"/>
      <c r="N59" s="8" t="s">
        <v>71</v>
      </c>
      <c r="O59" s="8" t="s">
        <v>65</v>
      </c>
      <c r="P59" s="8" t="s">
        <v>66</v>
      </c>
      <c r="Q59" s="9"/>
      <c r="R59" s="9"/>
    </row>
    <row r="60" customFormat="false" ht="15" hidden="false" customHeight="false" outlineLevel="0" collapsed="false">
      <c r="A60" s="8" t="s">
        <v>22</v>
      </c>
      <c r="B60" s="8" t="s">
        <v>253</v>
      </c>
      <c r="C60" s="8" t="s">
        <v>23</v>
      </c>
      <c r="D60" s="8" t="s">
        <v>59</v>
      </c>
      <c r="E60" s="8" t="s">
        <v>59</v>
      </c>
      <c r="F60" s="8" t="s">
        <v>116</v>
      </c>
      <c r="G60" s="8" t="s">
        <v>155</v>
      </c>
      <c r="H60" s="8" t="n">
        <f aca="false">IFERROR((TIMEVALUE(G60)-TIMEVALUE(F60))*1440,"")</f>
        <v>60</v>
      </c>
      <c r="I60" s="8" t="str">
        <f aca="false">IF(F60&lt;"13:00","בוקר","ערב")</f>
        <v>ערב</v>
      </c>
      <c r="J60" s="8" t="s">
        <v>258</v>
      </c>
      <c r="K60" s="8" t="s">
        <v>89</v>
      </c>
      <c r="L60" s="8" t="s">
        <v>89</v>
      </c>
      <c r="M60" s="8"/>
      <c r="N60" s="8" t="s">
        <v>90</v>
      </c>
      <c r="O60" s="8" t="s">
        <v>78</v>
      </c>
      <c r="P60" s="8" t="s">
        <v>72</v>
      </c>
      <c r="Q60" s="9"/>
      <c r="R60" s="9"/>
    </row>
    <row r="61" customFormat="false" ht="15" hidden="false" customHeight="false" outlineLevel="0" collapsed="false">
      <c r="A61" s="8" t="s">
        <v>22</v>
      </c>
      <c r="B61" s="8" t="s">
        <v>253</v>
      </c>
      <c r="C61" s="8" t="s">
        <v>23</v>
      </c>
      <c r="D61" s="8" t="s">
        <v>85</v>
      </c>
      <c r="E61" s="8" t="s">
        <v>85</v>
      </c>
      <c r="F61" s="8" t="s">
        <v>259</v>
      </c>
      <c r="G61" s="8" t="s">
        <v>260</v>
      </c>
      <c r="H61" s="8" t="n">
        <f aca="false">IFERROR((TIMEVALUE(G61)-TIMEVALUE(F61))*1440,"")</f>
        <v>50</v>
      </c>
      <c r="I61" s="8" t="str">
        <f aca="false">IF(F61&lt;"13:00","בוקר","ערב")</f>
        <v>בוקר</v>
      </c>
      <c r="J61" s="8" t="s">
        <v>261</v>
      </c>
      <c r="K61" s="8" t="s">
        <v>97</v>
      </c>
      <c r="L61" s="8" t="s">
        <v>97</v>
      </c>
      <c r="M61" s="8"/>
      <c r="N61" s="8" t="s">
        <v>98</v>
      </c>
      <c r="O61" s="8" t="s">
        <v>99</v>
      </c>
      <c r="P61" s="8" t="s">
        <v>72</v>
      </c>
      <c r="Q61" s="9" t="s">
        <v>262</v>
      </c>
      <c r="R61" s="10" t="s">
        <v>263</v>
      </c>
    </row>
    <row r="62" customFormat="false" ht="15" hidden="false" customHeight="false" outlineLevel="0" collapsed="false">
      <c r="A62" s="8" t="s">
        <v>22</v>
      </c>
      <c r="B62" s="8" t="s">
        <v>253</v>
      </c>
      <c r="C62" s="8" t="s">
        <v>23</v>
      </c>
      <c r="D62" s="8" t="s">
        <v>85</v>
      </c>
      <c r="E62" s="8" t="s">
        <v>85</v>
      </c>
      <c r="F62" s="8" t="s">
        <v>110</v>
      </c>
      <c r="G62" s="8" t="s">
        <v>264</v>
      </c>
      <c r="H62" s="8" t="n">
        <f aca="false">IFERROR((TIMEVALUE(G62)-TIMEVALUE(F62))*1440,"")</f>
        <v>45</v>
      </c>
      <c r="I62" s="8" t="str">
        <f aca="false">IF(F62&lt;"13:00","בוקר","ערב")</f>
        <v>בוקר</v>
      </c>
      <c r="J62" s="8" t="s">
        <v>265</v>
      </c>
      <c r="K62" s="8" t="s">
        <v>112</v>
      </c>
      <c r="L62" s="8" t="s">
        <v>112</v>
      </c>
      <c r="M62" s="8"/>
      <c r="N62" s="8" t="s">
        <v>113</v>
      </c>
      <c r="O62" s="8" t="s">
        <v>114</v>
      </c>
      <c r="P62" s="8" t="s">
        <v>66</v>
      </c>
      <c r="Q62" s="9"/>
      <c r="R62" s="9"/>
    </row>
    <row r="63" customFormat="false" ht="15" hidden="false" customHeight="false" outlineLevel="0" collapsed="false">
      <c r="A63" s="8" t="s">
        <v>22</v>
      </c>
      <c r="B63" s="8" t="s">
        <v>253</v>
      </c>
      <c r="C63" s="8" t="s">
        <v>23</v>
      </c>
      <c r="D63" s="8" t="s">
        <v>85</v>
      </c>
      <c r="E63" s="8" t="s">
        <v>85</v>
      </c>
      <c r="F63" s="8" t="s">
        <v>266</v>
      </c>
      <c r="G63" s="8" t="s">
        <v>267</v>
      </c>
      <c r="H63" s="8" t="n">
        <f aca="false">IFERROR((TIMEVALUE(G63)-TIMEVALUE(F63))*1440,"")</f>
        <v>50</v>
      </c>
      <c r="I63" s="8" t="str">
        <f aca="false">IF(F63&lt;"13:00","בוקר","ערב")</f>
        <v>ערב</v>
      </c>
      <c r="J63" s="8" t="s">
        <v>268</v>
      </c>
      <c r="K63" s="8" t="s">
        <v>82</v>
      </c>
      <c r="L63" s="8" t="s">
        <v>82</v>
      </c>
      <c r="M63" s="8"/>
      <c r="N63" s="8" t="s">
        <v>146</v>
      </c>
      <c r="O63" s="8" t="s">
        <v>65</v>
      </c>
      <c r="P63" s="8" t="s">
        <v>66</v>
      </c>
      <c r="Q63" s="9"/>
      <c r="R63" s="9"/>
    </row>
    <row r="64" customFormat="false" ht="15" hidden="false" customHeight="false" outlineLevel="0" collapsed="false">
      <c r="A64" s="8" t="s">
        <v>22</v>
      </c>
      <c r="B64" s="8" t="s">
        <v>253</v>
      </c>
      <c r="C64" s="8" t="s">
        <v>23</v>
      </c>
      <c r="D64" s="8" t="s">
        <v>100</v>
      </c>
      <c r="E64" s="8" t="s">
        <v>100</v>
      </c>
      <c r="F64" s="8" t="s">
        <v>60</v>
      </c>
      <c r="G64" s="8" t="s">
        <v>61</v>
      </c>
      <c r="H64" s="8" t="n">
        <f aca="false">IFERROR((TIMEVALUE(G64)-TIMEVALUE(F64))*1440,"")</f>
        <v>50</v>
      </c>
      <c r="I64" s="8" t="str">
        <f aca="false">IF(F64&lt;"13:00","בוקר","ערב")</f>
        <v>בוקר</v>
      </c>
      <c r="J64" s="8" t="s">
        <v>62</v>
      </c>
      <c r="K64" s="8" t="s">
        <v>70</v>
      </c>
      <c r="L64" s="8" t="s">
        <v>70</v>
      </c>
      <c r="M64" s="8"/>
      <c r="N64" s="8" t="s">
        <v>71</v>
      </c>
      <c r="O64" s="8" t="s">
        <v>65</v>
      </c>
      <c r="P64" s="8" t="s">
        <v>66</v>
      </c>
      <c r="Q64" s="9"/>
      <c r="R64" s="9"/>
    </row>
    <row r="65" customFormat="false" ht="15" hidden="false" customHeight="false" outlineLevel="0" collapsed="false">
      <c r="A65" s="8" t="s">
        <v>22</v>
      </c>
      <c r="B65" s="8" t="s">
        <v>253</v>
      </c>
      <c r="C65" s="8" t="s">
        <v>23</v>
      </c>
      <c r="D65" s="8" t="s">
        <v>100</v>
      </c>
      <c r="E65" s="8" t="s">
        <v>100</v>
      </c>
      <c r="F65" s="8" t="s">
        <v>103</v>
      </c>
      <c r="G65" s="8" t="s">
        <v>104</v>
      </c>
      <c r="H65" s="8" t="n">
        <f aca="false">IFERROR((TIMEVALUE(G65)-TIMEVALUE(F65))*1440,"")</f>
        <v>50</v>
      </c>
      <c r="I65" s="8" t="str">
        <f aca="false">IF(F65&lt;"13:00","בוקר","ערב")</f>
        <v>ערב</v>
      </c>
      <c r="J65" s="8" t="s">
        <v>105</v>
      </c>
      <c r="K65" s="8" t="s">
        <v>76</v>
      </c>
      <c r="L65" s="8" t="s">
        <v>76</v>
      </c>
      <c r="M65" s="8"/>
      <c r="N65" s="8" t="s">
        <v>77</v>
      </c>
      <c r="O65" s="8" t="s">
        <v>84</v>
      </c>
      <c r="P65" s="8" t="s">
        <v>72</v>
      </c>
      <c r="Q65" s="9"/>
      <c r="R65" s="9"/>
    </row>
    <row r="66" customFormat="false" ht="15" hidden="false" customHeight="false" outlineLevel="0" collapsed="false">
      <c r="A66" s="8" t="s">
        <v>22</v>
      </c>
      <c r="B66" s="8" t="s">
        <v>253</v>
      </c>
      <c r="C66" s="8" t="s">
        <v>23</v>
      </c>
      <c r="D66" s="8" t="s">
        <v>108</v>
      </c>
      <c r="E66" s="8" t="s">
        <v>108</v>
      </c>
      <c r="F66" s="8" t="s">
        <v>269</v>
      </c>
      <c r="G66" s="8" t="s">
        <v>270</v>
      </c>
      <c r="H66" s="8" t="n">
        <f aca="false">IFERROR((TIMEVALUE(G66)-TIMEVALUE(F66))*1440,"")</f>
        <v>60</v>
      </c>
      <c r="I66" s="8" t="str">
        <f aca="false">IF(F66&lt;"13:00","בוקר","ערב")</f>
        <v>בוקר</v>
      </c>
      <c r="J66" s="8" t="s">
        <v>271</v>
      </c>
      <c r="K66" s="8" t="s">
        <v>147</v>
      </c>
      <c r="L66" s="8" t="s">
        <v>147</v>
      </c>
      <c r="M66" s="8"/>
      <c r="N66" s="8" t="s">
        <v>148</v>
      </c>
      <c r="O66" s="8" t="s">
        <v>91</v>
      </c>
      <c r="P66" s="8" t="s">
        <v>72</v>
      </c>
      <c r="Q66" s="9" t="s">
        <v>272</v>
      </c>
      <c r="R66" s="9"/>
    </row>
    <row r="67" customFormat="false" ht="15" hidden="false" customHeight="false" outlineLevel="0" collapsed="false">
      <c r="A67" s="8" t="s">
        <v>22</v>
      </c>
      <c r="B67" s="8" t="s">
        <v>253</v>
      </c>
      <c r="C67" s="8" t="s">
        <v>23</v>
      </c>
      <c r="D67" s="8" t="s">
        <v>108</v>
      </c>
      <c r="E67" s="8" t="s">
        <v>108</v>
      </c>
      <c r="F67" s="8" t="s">
        <v>187</v>
      </c>
      <c r="G67" s="8" t="s">
        <v>273</v>
      </c>
      <c r="H67" s="8" t="n">
        <f aca="false">IFERROR((TIMEVALUE(G67)-TIMEVALUE(F67))*1440,"")</f>
        <v>50</v>
      </c>
      <c r="I67" s="8" t="str">
        <f aca="false">IF(F67&lt;"13:00","בוקר","ערב")</f>
        <v>ערב</v>
      </c>
      <c r="J67" s="8" t="s">
        <v>274</v>
      </c>
      <c r="K67" s="8" t="s">
        <v>97</v>
      </c>
      <c r="L67" s="8" t="s">
        <v>97</v>
      </c>
      <c r="M67" s="8"/>
      <c r="N67" s="8" t="s">
        <v>138</v>
      </c>
      <c r="O67" s="8" t="s">
        <v>99</v>
      </c>
      <c r="P67" s="8" t="s">
        <v>72</v>
      </c>
      <c r="Q67" s="9"/>
      <c r="R67" s="9"/>
    </row>
    <row r="68" customFormat="false" ht="15" hidden="false" customHeight="false" outlineLevel="0" collapsed="false">
      <c r="A68" s="8" t="s">
        <v>22</v>
      </c>
      <c r="B68" s="8" t="s">
        <v>253</v>
      </c>
      <c r="C68" s="8" t="s">
        <v>23</v>
      </c>
      <c r="D68" s="8" t="s">
        <v>108</v>
      </c>
      <c r="E68" s="8" t="s">
        <v>108</v>
      </c>
      <c r="F68" s="8" t="s">
        <v>116</v>
      </c>
      <c r="G68" s="8" t="s">
        <v>155</v>
      </c>
      <c r="H68" s="8" t="n">
        <f aca="false">IFERROR((TIMEVALUE(G68)-TIMEVALUE(F68))*1440,"")</f>
        <v>60</v>
      </c>
      <c r="I68" s="8" t="str">
        <f aca="false">IF(F68&lt;"13:00","בוקר","ערב")</f>
        <v>ערב</v>
      </c>
      <c r="J68" s="8" t="s">
        <v>258</v>
      </c>
      <c r="K68" s="8" t="s">
        <v>89</v>
      </c>
      <c r="L68" s="8" t="s">
        <v>89</v>
      </c>
      <c r="M68" s="8"/>
      <c r="N68" s="8" t="s">
        <v>90</v>
      </c>
      <c r="O68" s="8" t="s">
        <v>78</v>
      </c>
      <c r="P68" s="8" t="s">
        <v>72</v>
      </c>
      <c r="Q68" s="9"/>
      <c r="R68" s="9"/>
    </row>
    <row r="69" customFormat="false" ht="15" hidden="false" customHeight="false" outlineLevel="0" collapsed="false">
      <c r="A69" s="8" t="s">
        <v>22</v>
      </c>
      <c r="B69" s="8" t="s">
        <v>253</v>
      </c>
      <c r="C69" s="8" t="s">
        <v>23</v>
      </c>
      <c r="D69" s="8" t="s">
        <v>119</v>
      </c>
      <c r="E69" s="8" t="s">
        <v>119</v>
      </c>
      <c r="F69" s="8" t="s">
        <v>67</v>
      </c>
      <c r="G69" s="8" t="s">
        <v>68</v>
      </c>
      <c r="H69" s="8" t="n">
        <f aca="false">IFERROR((TIMEVALUE(G69)-TIMEVALUE(F69))*1440,"")</f>
        <v>50</v>
      </c>
      <c r="I69" s="8" t="str">
        <f aca="false">IF(F69&lt;"13:00","בוקר","ערב")</f>
        <v>בוקר</v>
      </c>
      <c r="J69" s="8" t="s">
        <v>69</v>
      </c>
      <c r="K69" s="8" t="s">
        <v>76</v>
      </c>
      <c r="L69" s="8" t="s">
        <v>76</v>
      </c>
      <c r="M69" s="8"/>
      <c r="N69" s="8" t="s">
        <v>275</v>
      </c>
      <c r="O69" s="8" t="s">
        <v>84</v>
      </c>
      <c r="P69" s="8" t="s">
        <v>66</v>
      </c>
      <c r="Q69" s="9" t="s">
        <v>276</v>
      </c>
      <c r="R69" s="10" t="s">
        <v>277</v>
      </c>
    </row>
    <row r="70" customFormat="false" ht="15" hidden="false" customHeight="false" outlineLevel="0" collapsed="false">
      <c r="A70" s="8" t="s">
        <v>22</v>
      </c>
      <c r="B70" s="8" t="s">
        <v>253</v>
      </c>
      <c r="C70" s="8" t="s">
        <v>23</v>
      </c>
      <c r="D70" s="8" t="s">
        <v>119</v>
      </c>
      <c r="E70" s="8" t="s">
        <v>119</v>
      </c>
      <c r="F70" s="8" t="s">
        <v>110</v>
      </c>
      <c r="G70" s="8" t="s">
        <v>264</v>
      </c>
      <c r="H70" s="8" t="n">
        <f aca="false">IFERROR((TIMEVALUE(G70)-TIMEVALUE(F70))*1440,"")</f>
        <v>45</v>
      </c>
      <c r="I70" s="8" t="str">
        <f aca="false">IF(F70&lt;"13:00","בוקר","ערב")</f>
        <v>בוקר</v>
      </c>
      <c r="J70" s="8" t="s">
        <v>265</v>
      </c>
      <c r="K70" s="8" t="s">
        <v>112</v>
      </c>
      <c r="L70" s="8" t="s">
        <v>112</v>
      </c>
      <c r="M70" s="8"/>
      <c r="N70" s="8" t="s">
        <v>113</v>
      </c>
      <c r="O70" s="8" t="s">
        <v>114</v>
      </c>
      <c r="P70" s="8" t="s">
        <v>66</v>
      </c>
      <c r="Q70" s="9"/>
      <c r="R70" s="9"/>
    </row>
    <row r="71" customFormat="false" ht="15" hidden="false" customHeight="false" outlineLevel="0" collapsed="false">
      <c r="A71" s="8" t="s">
        <v>22</v>
      </c>
      <c r="B71" s="8" t="s">
        <v>253</v>
      </c>
      <c r="C71" s="8" t="s">
        <v>23</v>
      </c>
      <c r="D71" s="8" t="s">
        <v>119</v>
      </c>
      <c r="E71" s="8" t="s">
        <v>119</v>
      </c>
      <c r="F71" s="8" t="s">
        <v>255</v>
      </c>
      <c r="G71" s="8" t="s">
        <v>256</v>
      </c>
      <c r="H71" s="8" t="n">
        <f aca="false">IFERROR((TIMEVALUE(G71)-TIMEVALUE(F71))*1440,"")</f>
        <v>50</v>
      </c>
      <c r="I71" s="8" t="str">
        <f aca="false">IF(F71&lt;"13:00","בוקר","ערב")</f>
        <v>ערב</v>
      </c>
      <c r="J71" s="8" t="s">
        <v>257</v>
      </c>
      <c r="K71" s="8" t="s">
        <v>70</v>
      </c>
      <c r="L71" s="8" t="s">
        <v>70</v>
      </c>
      <c r="M71" s="8"/>
      <c r="N71" s="8" t="s">
        <v>278</v>
      </c>
      <c r="O71" s="8" t="s">
        <v>65</v>
      </c>
      <c r="P71" s="8" t="s">
        <v>66</v>
      </c>
      <c r="Q71" s="9"/>
      <c r="R71" s="9"/>
    </row>
    <row r="72" customFormat="false" ht="15" hidden="false" customHeight="false" outlineLevel="0" collapsed="false">
      <c r="A72" s="8" t="s">
        <v>26</v>
      </c>
      <c r="B72" s="8" t="s">
        <v>279</v>
      </c>
      <c r="C72" s="8" t="s">
        <v>27</v>
      </c>
      <c r="D72" s="8" t="s">
        <v>59</v>
      </c>
      <c r="E72" s="8" t="s">
        <v>59</v>
      </c>
      <c r="F72" s="8" t="s">
        <v>60</v>
      </c>
      <c r="G72" s="8" t="s">
        <v>61</v>
      </c>
      <c r="H72" s="8" t="n">
        <f aca="false">IFERROR((TIMEVALUE(G72)-TIMEVALUE(F72))*1440,"")</f>
        <v>50</v>
      </c>
      <c r="I72" s="8" t="str">
        <f aca="false">IF(F72&lt;"13:00","בוקר","ערב")</f>
        <v>בוקר</v>
      </c>
      <c r="J72" s="8" t="s">
        <v>62</v>
      </c>
      <c r="K72" s="8" t="s">
        <v>63</v>
      </c>
      <c r="L72" s="8" t="s">
        <v>63</v>
      </c>
      <c r="M72" s="8"/>
      <c r="N72" s="8" t="s">
        <v>280</v>
      </c>
      <c r="O72" s="8" t="s">
        <v>281</v>
      </c>
      <c r="P72" s="8" t="s">
        <v>66</v>
      </c>
      <c r="Q72" s="9"/>
      <c r="R72" s="9"/>
    </row>
    <row r="73" customFormat="false" ht="15" hidden="false" customHeight="false" outlineLevel="0" collapsed="false">
      <c r="A73" s="8" t="s">
        <v>26</v>
      </c>
      <c r="B73" s="8" t="s">
        <v>279</v>
      </c>
      <c r="C73" s="8" t="s">
        <v>27</v>
      </c>
      <c r="D73" s="8" t="s">
        <v>59</v>
      </c>
      <c r="E73" s="8" t="s">
        <v>59</v>
      </c>
      <c r="F73" s="8" t="s">
        <v>73</v>
      </c>
      <c r="G73" s="8" t="s">
        <v>74</v>
      </c>
      <c r="H73" s="8" t="n">
        <f aca="false">IFERROR((TIMEVALUE(G73)-TIMEVALUE(F73))*1440,"")</f>
        <v>50</v>
      </c>
      <c r="I73" s="8" t="str">
        <f aca="false">IF(F73&lt;"13:00","בוקר","ערב")</f>
        <v>ערב</v>
      </c>
      <c r="J73" s="8" t="s">
        <v>75</v>
      </c>
      <c r="K73" s="8" t="s">
        <v>76</v>
      </c>
      <c r="L73" s="8" t="s">
        <v>76</v>
      </c>
      <c r="M73" s="8"/>
      <c r="N73" s="8" t="s">
        <v>282</v>
      </c>
      <c r="O73" s="8" t="s">
        <v>78</v>
      </c>
      <c r="P73" s="8" t="s">
        <v>72</v>
      </c>
      <c r="Q73" s="9" t="s">
        <v>283</v>
      </c>
      <c r="R73" s="10" t="s">
        <v>284</v>
      </c>
    </row>
    <row r="74" customFormat="false" ht="26.85" hidden="false" customHeight="false" outlineLevel="0" collapsed="false">
      <c r="A74" s="8" t="s">
        <v>26</v>
      </c>
      <c r="B74" s="8" t="s">
        <v>279</v>
      </c>
      <c r="C74" s="8" t="s">
        <v>27</v>
      </c>
      <c r="D74" s="8" t="s">
        <v>59</v>
      </c>
      <c r="E74" s="8" t="s">
        <v>59</v>
      </c>
      <c r="F74" s="8" t="s">
        <v>73</v>
      </c>
      <c r="G74" s="8" t="s">
        <v>74</v>
      </c>
      <c r="H74" s="8" t="n">
        <f aca="false">IFERROR((TIMEVALUE(G74)-TIMEVALUE(F74))*1440,"")</f>
        <v>50</v>
      </c>
      <c r="I74" s="8" t="str">
        <f aca="false">IF(F74&lt;"13:00","בוקר","ערב")</f>
        <v>ערב</v>
      </c>
      <c r="J74" s="8" t="s">
        <v>75</v>
      </c>
      <c r="K74" s="8" t="s">
        <v>192</v>
      </c>
      <c r="L74" s="8" t="s">
        <v>192</v>
      </c>
      <c r="M74" s="8"/>
      <c r="N74" s="8" t="s">
        <v>278</v>
      </c>
      <c r="O74" s="8" t="s">
        <v>78</v>
      </c>
      <c r="P74" s="8" t="s">
        <v>66</v>
      </c>
      <c r="Q74" s="9"/>
      <c r="R74" s="10" t="s">
        <v>285</v>
      </c>
    </row>
    <row r="75" customFormat="false" ht="26.85" hidden="false" customHeight="false" outlineLevel="0" collapsed="false">
      <c r="A75" s="8" t="s">
        <v>26</v>
      </c>
      <c r="B75" s="8" t="s">
        <v>279</v>
      </c>
      <c r="C75" s="8" t="s">
        <v>27</v>
      </c>
      <c r="D75" s="8" t="s">
        <v>85</v>
      </c>
      <c r="E75" s="8" t="s">
        <v>85</v>
      </c>
      <c r="F75" s="8" t="s">
        <v>286</v>
      </c>
      <c r="G75" s="8" t="s">
        <v>287</v>
      </c>
      <c r="H75" s="8" t="n">
        <f aca="false">IFERROR((TIMEVALUE(G75)-TIMEVALUE(F75))*1440,"")</f>
        <v>50</v>
      </c>
      <c r="I75" s="8" t="str">
        <f aca="false">IF(F75&lt;"13:00","בוקר","ערב")</f>
        <v>בוקר</v>
      </c>
      <c r="J75" s="8" t="s">
        <v>288</v>
      </c>
      <c r="K75" s="8" t="s">
        <v>97</v>
      </c>
      <c r="L75" s="8" t="s">
        <v>97</v>
      </c>
      <c r="M75" s="8"/>
      <c r="N75" s="8" t="s">
        <v>98</v>
      </c>
      <c r="O75" s="8" t="s">
        <v>289</v>
      </c>
      <c r="P75" s="8" t="s">
        <v>72</v>
      </c>
      <c r="Q75" s="9" t="s">
        <v>290</v>
      </c>
      <c r="R75" s="10" t="s">
        <v>291</v>
      </c>
    </row>
    <row r="76" customFormat="false" ht="15" hidden="false" customHeight="false" outlineLevel="0" collapsed="false">
      <c r="A76" s="8" t="s">
        <v>26</v>
      </c>
      <c r="B76" s="8" t="s">
        <v>279</v>
      </c>
      <c r="C76" s="8" t="s">
        <v>27</v>
      </c>
      <c r="D76" s="8" t="s">
        <v>85</v>
      </c>
      <c r="E76" s="8" t="s">
        <v>85</v>
      </c>
      <c r="F76" s="8" t="s">
        <v>292</v>
      </c>
      <c r="G76" s="8" t="s">
        <v>181</v>
      </c>
      <c r="H76" s="8" t="n">
        <f aca="false">IFERROR((TIMEVALUE(G76)-TIMEVALUE(F76))*1440,"")</f>
        <v>60</v>
      </c>
      <c r="I76" s="8" t="str">
        <f aca="false">IF(F76&lt;"13:00","בוקר","ערב")</f>
        <v>ערב</v>
      </c>
      <c r="J76" s="8" t="s">
        <v>293</v>
      </c>
      <c r="K76" s="8" t="s">
        <v>294</v>
      </c>
      <c r="L76" s="8" t="s">
        <v>294</v>
      </c>
      <c r="M76" s="8"/>
      <c r="N76" s="8" t="s">
        <v>158</v>
      </c>
      <c r="O76" s="8" t="s">
        <v>295</v>
      </c>
      <c r="P76" s="8" t="s">
        <v>296</v>
      </c>
      <c r="Q76" s="9" t="s">
        <v>297</v>
      </c>
      <c r="R76" s="10" t="s">
        <v>298</v>
      </c>
    </row>
    <row r="77" customFormat="false" ht="15" hidden="false" customHeight="false" outlineLevel="0" collapsed="false">
      <c r="A77" s="8" t="s">
        <v>26</v>
      </c>
      <c r="B77" s="8" t="s">
        <v>279</v>
      </c>
      <c r="C77" s="8" t="s">
        <v>27</v>
      </c>
      <c r="D77" s="8" t="s">
        <v>85</v>
      </c>
      <c r="E77" s="8" t="s">
        <v>85</v>
      </c>
      <c r="F77" s="8" t="s">
        <v>187</v>
      </c>
      <c r="G77" s="8" t="s">
        <v>299</v>
      </c>
      <c r="H77" s="8" t="n">
        <f aca="false">IFERROR((TIMEVALUE(G77)-TIMEVALUE(F77))*1440,"")</f>
        <v>60</v>
      </c>
      <c r="I77" s="8" t="str">
        <f aca="false">IF(F77&lt;"13:00","בוקר","ערב")</f>
        <v>ערב</v>
      </c>
      <c r="J77" s="8" t="s">
        <v>300</v>
      </c>
      <c r="K77" s="8" t="s">
        <v>301</v>
      </c>
      <c r="L77" s="8" t="s">
        <v>301</v>
      </c>
      <c r="M77" s="8"/>
      <c r="N77" s="8"/>
      <c r="O77" s="8" t="s">
        <v>302</v>
      </c>
      <c r="P77" s="8" t="s">
        <v>303</v>
      </c>
      <c r="Q77" s="9" t="s">
        <v>304</v>
      </c>
      <c r="R77" s="10" t="s">
        <v>305</v>
      </c>
    </row>
    <row r="78" customFormat="false" ht="15" hidden="false" customHeight="false" outlineLevel="0" collapsed="false">
      <c r="A78" s="8" t="s">
        <v>26</v>
      </c>
      <c r="B78" s="8" t="s">
        <v>279</v>
      </c>
      <c r="C78" s="8" t="s">
        <v>27</v>
      </c>
      <c r="D78" s="8" t="s">
        <v>100</v>
      </c>
      <c r="E78" s="8" t="s">
        <v>100</v>
      </c>
      <c r="F78" s="8" t="s">
        <v>67</v>
      </c>
      <c r="G78" s="8" t="s">
        <v>68</v>
      </c>
      <c r="H78" s="8" t="n">
        <f aca="false">IFERROR((TIMEVALUE(G78)-TIMEVALUE(F78))*1440,"")</f>
        <v>50</v>
      </c>
      <c r="I78" s="8" t="str">
        <f aca="false">IF(F78&lt;"13:00","בוקר","ערב")</f>
        <v>בוקר</v>
      </c>
      <c r="J78" s="8" t="s">
        <v>69</v>
      </c>
      <c r="K78" s="8" t="s">
        <v>70</v>
      </c>
      <c r="L78" s="8" t="s">
        <v>70</v>
      </c>
      <c r="M78" s="8"/>
      <c r="N78" s="8" t="s">
        <v>306</v>
      </c>
      <c r="O78" s="8" t="s">
        <v>281</v>
      </c>
      <c r="P78" s="8" t="s">
        <v>66</v>
      </c>
      <c r="Q78" s="9"/>
      <c r="R78" s="9"/>
    </row>
    <row r="79" customFormat="false" ht="15" hidden="false" customHeight="false" outlineLevel="0" collapsed="false">
      <c r="A79" s="8" t="s">
        <v>26</v>
      </c>
      <c r="B79" s="8" t="s">
        <v>279</v>
      </c>
      <c r="C79" s="8" t="s">
        <v>27</v>
      </c>
      <c r="D79" s="8" t="s">
        <v>100</v>
      </c>
      <c r="E79" s="8" t="s">
        <v>100</v>
      </c>
      <c r="F79" s="8" t="s">
        <v>181</v>
      </c>
      <c r="G79" s="8" t="s">
        <v>255</v>
      </c>
      <c r="H79" s="8" t="n">
        <f aca="false">IFERROR((TIMEVALUE(G79)-TIMEVALUE(F79))*1440,"")</f>
        <v>45</v>
      </c>
      <c r="I79" s="8" t="str">
        <f aca="false">IF(F79&lt;"13:00","בוקר","ערב")</f>
        <v>ערב</v>
      </c>
      <c r="J79" s="8" t="s">
        <v>307</v>
      </c>
      <c r="K79" s="8" t="s">
        <v>308</v>
      </c>
      <c r="L79" s="8" t="s">
        <v>308</v>
      </c>
      <c r="M79" s="8"/>
      <c r="N79" s="8" t="s">
        <v>174</v>
      </c>
      <c r="O79" s="8" t="s">
        <v>114</v>
      </c>
      <c r="P79" s="8" t="s">
        <v>296</v>
      </c>
      <c r="Q79" s="9" t="s">
        <v>309</v>
      </c>
      <c r="R79" s="10" t="s">
        <v>310</v>
      </c>
    </row>
    <row r="80" customFormat="false" ht="15" hidden="false" customHeight="false" outlineLevel="0" collapsed="false">
      <c r="A80" s="8" t="s">
        <v>26</v>
      </c>
      <c r="B80" s="8" t="s">
        <v>279</v>
      </c>
      <c r="C80" s="8" t="s">
        <v>27</v>
      </c>
      <c r="D80" s="8" t="s">
        <v>100</v>
      </c>
      <c r="E80" s="8" t="s">
        <v>100</v>
      </c>
      <c r="F80" s="8" t="s">
        <v>116</v>
      </c>
      <c r="G80" s="8" t="s">
        <v>155</v>
      </c>
      <c r="H80" s="8" t="n">
        <f aca="false">IFERROR((TIMEVALUE(G80)-TIMEVALUE(F80))*1440,"")</f>
        <v>60</v>
      </c>
      <c r="I80" s="8" t="str">
        <f aca="false">IF(F80&lt;"13:00","בוקר","ערב")</f>
        <v>ערב</v>
      </c>
      <c r="J80" s="8" t="s">
        <v>258</v>
      </c>
      <c r="K80" s="8" t="s">
        <v>89</v>
      </c>
      <c r="L80" s="8" t="s">
        <v>89</v>
      </c>
      <c r="M80" s="8"/>
      <c r="N80" s="8" t="s">
        <v>118</v>
      </c>
      <c r="O80" s="8"/>
      <c r="P80" s="8" t="s">
        <v>72</v>
      </c>
      <c r="Q80" s="9" t="s">
        <v>311</v>
      </c>
      <c r="R80" s="10" t="s">
        <v>312</v>
      </c>
    </row>
    <row r="81" customFormat="false" ht="15" hidden="false" customHeight="false" outlineLevel="0" collapsed="false">
      <c r="A81" s="8" t="s">
        <v>26</v>
      </c>
      <c r="B81" s="8" t="s">
        <v>279</v>
      </c>
      <c r="C81" s="8" t="s">
        <v>27</v>
      </c>
      <c r="D81" s="8" t="s">
        <v>108</v>
      </c>
      <c r="E81" s="8" t="s">
        <v>108</v>
      </c>
      <c r="F81" s="8" t="s">
        <v>109</v>
      </c>
      <c r="G81" s="8" t="s">
        <v>110</v>
      </c>
      <c r="H81" s="8" t="n">
        <f aca="false">IFERROR((TIMEVALUE(G81)-TIMEVALUE(F81))*1440,"")</f>
        <v>45</v>
      </c>
      <c r="I81" s="8" t="str">
        <f aca="false">IF(F81&lt;"13:00","בוקר","ערב")</f>
        <v>בוקר</v>
      </c>
      <c r="J81" s="8" t="s">
        <v>111</v>
      </c>
      <c r="K81" s="8" t="s">
        <v>112</v>
      </c>
      <c r="L81" s="8" t="s">
        <v>112</v>
      </c>
      <c r="M81" s="8"/>
      <c r="N81" s="8" t="s">
        <v>113</v>
      </c>
      <c r="O81" s="8" t="s">
        <v>114</v>
      </c>
      <c r="P81" s="8" t="s">
        <v>66</v>
      </c>
      <c r="Q81" s="9"/>
      <c r="R81" s="9"/>
    </row>
    <row r="82" customFormat="false" ht="26.85" hidden="false" customHeight="false" outlineLevel="0" collapsed="false">
      <c r="A82" s="8" t="s">
        <v>26</v>
      </c>
      <c r="B82" s="8" t="s">
        <v>279</v>
      </c>
      <c r="C82" s="8" t="s">
        <v>27</v>
      </c>
      <c r="D82" s="8" t="s">
        <v>108</v>
      </c>
      <c r="E82" s="8" t="s">
        <v>108</v>
      </c>
      <c r="F82" s="8" t="s">
        <v>103</v>
      </c>
      <c r="G82" s="8" t="s">
        <v>187</v>
      </c>
      <c r="H82" s="8" t="n">
        <f aca="false">IFERROR((TIMEVALUE(G82)-TIMEVALUE(F82))*1440,"")</f>
        <v>60</v>
      </c>
      <c r="I82" s="8" t="str">
        <f aca="false">IF(F82&lt;"13:00","בוקר","ערב")</f>
        <v>ערב</v>
      </c>
      <c r="J82" s="8" t="s">
        <v>313</v>
      </c>
      <c r="K82" s="8" t="s">
        <v>314</v>
      </c>
      <c r="L82" s="8" t="s">
        <v>314</v>
      </c>
      <c r="M82" s="8"/>
      <c r="N82" s="8" t="s">
        <v>133</v>
      </c>
      <c r="O82" s="8" t="s">
        <v>84</v>
      </c>
      <c r="P82" s="8" t="s">
        <v>66</v>
      </c>
      <c r="Q82" s="9" t="s">
        <v>315</v>
      </c>
      <c r="R82" s="10" t="s">
        <v>316</v>
      </c>
    </row>
    <row r="83" customFormat="false" ht="15" hidden="false" customHeight="false" outlineLevel="0" collapsed="false">
      <c r="A83" s="8" t="s">
        <v>26</v>
      </c>
      <c r="B83" s="8" t="s">
        <v>279</v>
      </c>
      <c r="C83" s="8" t="s">
        <v>27</v>
      </c>
      <c r="D83" s="8" t="s">
        <v>119</v>
      </c>
      <c r="E83" s="8" t="s">
        <v>119</v>
      </c>
      <c r="F83" s="8" t="s">
        <v>60</v>
      </c>
      <c r="G83" s="8" t="s">
        <v>61</v>
      </c>
      <c r="H83" s="8" t="n">
        <f aca="false">IFERROR((TIMEVALUE(G83)-TIMEVALUE(F83))*1440,"")</f>
        <v>50</v>
      </c>
      <c r="I83" s="8" t="str">
        <f aca="false">IF(F83&lt;"13:00","בוקר","ערב")</f>
        <v>בוקר</v>
      </c>
      <c r="J83" s="8" t="s">
        <v>62</v>
      </c>
      <c r="K83" s="8" t="s">
        <v>63</v>
      </c>
      <c r="L83" s="8" t="s">
        <v>63</v>
      </c>
      <c r="M83" s="8"/>
      <c r="N83" s="8" t="s">
        <v>280</v>
      </c>
      <c r="O83" s="8" t="s">
        <v>281</v>
      </c>
      <c r="P83" s="8" t="s">
        <v>66</v>
      </c>
      <c r="Q83" s="9"/>
      <c r="R83" s="9"/>
    </row>
    <row r="84" customFormat="false" ht="15" hidden="false" customHeight="false" outlineLevel="0" collapsed="false">
      <c r="A84" s="8" t="s">
        <v>26</v>
      </c>
      <c r="B84" s="8" t="s">
        <v>279</v>
      </c>
      <c r="C84" s="8" t="s">
        <v>27</v>
      </c>
      <c r="D84" s="8" t="s">
        <v>119</v>
      </c>
      <c r="E84" s="8" t="s">
        <v>119</v>
      </c>
      <c r="F84" s="8" t="s">
        <v>115</v>
      </c>
      <c r="G84" s="8" t="s">
        <v>116</v>
      </c>
      <c r="H84" s="8" t="n">
        <f aca="false">IFERROR((TIMEVALUE(G84)-TIMEVALUE(F84))*1440,"")</f>
        <v>50</v>
      </c>
      <c r="I84" s="8" t="str">
        <f aca="false">IF(F84&lt;"13:00","בוקר","ערב")</f>
        <v>ערב</v>
      </c>
      <c r="J84" s="8" t="s">
        <v>117</v>
      </c>
      <c r="K84" s="8" t="s">
        <v>82</v>
      </c>
      <c r="L84" s="8" t="s">
        <v>82</v>
      </c>
      <c r="M84" s="8"/>
      <c r="N84" s="8" t="s">
        <v>146</v>
      </c>
      <c r="O84" s="8" t="s">
        <v>84</v>
      </c>
      <c r="P84" s="8" t="s">
        <v>66</v>
      </c>
      <c r="Q84" s="9" t="s">
        <v>317</v>
      </c>
      <c r="R84" s="10" t="s">
        <v>318</v>
      </c>
    </row>
    <row r="85" customFormat="false" ht="15" hidden="false" customHeight="false" outlineLevel="0" collapsed="false">
      <c r="A85" s="8" t="s">
        <v>26</v>
      </c>
      <c r="B85" s="8" t="s">
        <v>279</v>
      </c>
      <c r="C85" s="8" t="s">
        <v>27</v>
      </c>
      <c r="D85" s="8" t="s">
        <v>124</v>
      </c>
      <c r="E85" s="8" t="s">
        <v>124</v>
      </c>
      <c r="F85" s="8" t="s">
        <v>87</v>
      </c>
      <c r="G85" s="8" t="s">
        <v>101</v>
      </c>
      <c r="H85" s="8" t="n">
        <f aca="false">IFERROR((TIMEVALUE(G85)-TIMEVALUE(F85))*1440,"")</f>
        <v>50</v>
      </c>
      <c r="I85" s="8" t="str">
        <f aca="false">IF(F85&lt;"13:00","בוקר","ערב")</f>
        <v>בוקר</v>
      </c>
      <c r="J85" s="8" t="s">
        <v>102</v>
      </c>
      <c r="K85" s="8" t="s">
        <v>76</v>
      </c>
      <c r="L85" s="8" t="s">
        <v>76</v>
      </c>
      <c r="M85" s="8"/>
      <c r="N85" s="8" t="s">
        <v>125</v>
      </c>
      <c r="O85" s="8" t="s">
        <v>91</v>
      </c>
      <c r="P85" s="8" t="s">
        <v>72</v>
      </c>
      <c r="Q85" s="9"/>
      <c r="R85" s="9"/>
    </row>
    <row r="86" customFormat="false" ht="15" hidden="false" customHeight="false" outlineLevel="0" collapsed="false">
      <c r="A86" s="8" t="s">
        <v>26</v>
      </c>
      <c r="B86" s="8" t="s">
        <v>279</v>
      </c>
      <c r="C86" s="8" t="s">
        <v>27</v>
      </c>
      <c r="D86" s="8" t="s">
        <v>124</v>
      </c>
      <c r="E86" s="8" t="s">
        <v>124</v>
      </c>
      <c r="F86" s="8" t="s">
        <v>110</v>
      </c>
      <c r="G86" s="8" t="s">
        <v>319</v>
      </c>
      <c r="H86" s="8" t="n">
        <f aca="false">IFERROR((TIMEVALUE(G86)-TIMEVALUE(F86))*1440,"")</f>
        <v>60</v>
      </c>
      <c r="I86" s="8" t="str">
        <f aca="false">IF(F86&lt;"13:00","בוקר","ערב")</f>
        <v>בוקר</v>
      </c>
      <c r="J86" s="8" t="s">
        <v>320</v>
      </c>
      <c r="K86" s="8" t="s">
        <v>321</v>
      </c>
      <c r="L86" s="8" t="s">
        <v>321</v>
      </c>
      <c r="M86" s="8"/>
      <c r="N86" s="8" t="s">
        <v>107</v>
      </c>
      <c r="O86" s="8" t="s">
        <v>322</v>
      </c>
      <c r="P86" s="8" t="s">
        <v>72</v>
      </c>
      <c r="Q86" s="9" t="s">
        <v>323</v>
      </c>
      <c r="R86" s="10" t="s">
        <v>324</v>
      </c>
    </row>
    <row r="87" customFormat="false" ht="26.85" hidden="false" customHeight="false" outlineLevel="0" collapsed="false">
      <c r="A87" s="8" t="s">
        <v>26</v>
      </c>
      <c r="B87" s="8" t="s">
        <v>279</v>
      </c>
      <c r="C87" s="8" t="s">
        <v>27</v>
      </c>
      <c r="D87" s="8" t="s">
        <v>325</v>
      </c>
      <c r="E87" s="8" t="s">
        <v>325</v>
      </c>
      <c r="F87" s="8" t="s">
        <v>110</v>
      </c>
      <c r="G87" s="8" t="s">
        <v>326</v>
      </c>
      <c r="H87" s="8" t="n">
        <f aca="false">IFERROR((TIMEVALUE(G87)-TIMEVALUE(F87))*1440,"")</f>
        <v>50</v>
      </c>
      <c r="I87" s="8" t="str">
        <f aca="false">IF(F87&lt;"13:00","בוקר","ערב")</f>
        <v>בוקר</v>
      </c>
      <c r="J87" s="8" t="s">
        <v>327</v>
      </c>
      <c r="K87" s="8" t="s">
        <v>328</v>
      </c>
      <c r="L87" s="8" t="s">
        <v>328</v>
      </c>
      <c r="M87" s="8"/>
      <c r="N87" s="8" t="s">
        <v>96</v>
      </c>
      <c r="O87" s="8" t="s">
        <v>322</v>
      </c>
      <c r="P87" s="8" t="s">
        <v>329</v>
      </c>
      <c r="Q87" s="9" t="s">
        <v>330</v>
      </c>
      <c r="R87" s="10" t="s">
        <v>331</v>
      </c>
    </row>
  </sheetData>
  <autoFilter ref="A1:R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7" min="4" style="0" width="13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26.85" hidden="false" customHeight="false" outlineLevel="0" collapsed="false">
      <c r="A1" s="4" t="s">
        <v>41</v>
      </c>
      <c r="B1" s="4" t="s">
        <v>332</v>
      </c>
      <c r="C1" s="4" t="s">
        <v>333</v>
      </c>
      <c r="D1" s="4" t="s">
        <v>334</v>
      </c>
      <c r="E1" s="4" t="s">
        <v>335</v>
      </c>
      <c r="F1" s="4" t="s">
        <v>336</v>
      </c>
      <c r="G1" s="4" t="s">
        <v>337</v>
      </c>
      <c r="H1" s="4" t="s">
        <v>338</v>
      </c>
      <c r="I1" s="4" t="s">
        <v>339</v>
      </c>
    </row>
    <row r="2" customFormat="false" ht="15" hidden="false" customHeight="false" outlineLevel="0" collapsed="false">
      <c r="A2" s="11" t="s">
        <v>6</v>
      </c>
      <c r="B2" s="11" t="s">
        <v>8</v>
      </c>
      <c r="C2" s="12" t="n">
        <f aca="false">COUNTIF(לוח_שעות!$A$2:$A$87,$A2)</f>
        <v>15</v>
      </c>
      <c r="D2" s="12" t="n">
        <f aca="false">COUNTIFS(לוח_שעות!$A$2:$A$87,$A2,לוח_שעות!$I$2:$I$87,"בוקר")</f>
        <v>8</v>
      </c>
      <c r="E2" s="12" t="n">
        <f aca="false">COUNTIFS(לוח_שעות!$A$2:$A$87,$A2,לוח_שעות!$I$2:$I$87,"ערב")</f>
        <v>7</v>
      </c>
      <c r="F2" s="12" t="n">
        <f aca="false">COUNTIFS(לוח_שעות!$A$2:$A$87,$A2,לוח_שעות!$N$2:$N$87,"")</f>
        <v>0</v>
      </c>
      <c r="G2" s="12" t="n">
        <f aca="false">COUNTIFS(לוח_שעות!$A$2:$A$87,$A2,לוח_שעות!$O$2:$O$87,"")</f>
        <v>0</v>
      </c>
      <c r="H2" s="12" t="n">
        <f aca="false">COUNTIFS(לוח_שעות!$A$2:$A$87,$A2,לוח_שעות!$G$2:$G$87,"")</f>
        <v>0</v>
      </c>
      <c r="I2" s="12" t="n">
        <f aca="false">COUNTIFS(לוח_שעות!$A$2:$A$87,$A2,לוח_שעות!$R$2:$R$87,"&lt;&gt;")</f>
        <v>0</v>
      </c>
    </row>
    <row r="3" customFormat="false" ht="15" hidden="false" customHeight="false" outlineLevel="0" collapsed="false">
      <c r="A3" s="11" t="s">
        <v>10</v>
      </c>
      <c r="B3" s="11" t="s">
        <v>12</v>
      </c>
      <c r="C3" s="12" t="n">
        <f aca="false">COUNTIF(לוח_שעות!$A$2:$A$87,$A3)</f>
        <v>15</v>
      </c>
      <c r="D3" s="12" t="n">
        <f aca="false">COUNTIFS(לוח_שעות!$A$2:$A$87,$A3,לוח_שעות!$I$2:$I$87,"בוקר")</f>
        <v>8</v>
      </c>
      <c r="E3" s="12" t="n">
        <f aca="false">COUNTIFS(לוח_שעות!$A$2:$A$87,$A3,לוח_שעות!$I$2:$I$87,"ערב")</f>
        <v>7</v>
      </c>
      <c r="F3" s="12" t="n">
        <f aca="false">COUNTIFS(לוח_שעות!$A$2:$A$87,$A3,לוח_שעות!$N$2:$N$87,"")</f>
        <v>0</v>
      </c>
      <c r="G3" s="12" t="n">
        <f aca="false">COUNTIFS(לוח_שעות!$A$2:$A$87,$A3,לוח_שעות!$O$2:$O$87,"")</f>
        <v>0</v>
      </c>
      <c r="H3" s="12" t="n">
        <f aca="false">COUNTIFS(לוח_שעות!$A$2:$A$87,$A3,לוח_שעות!$G$2:$G$87,"")</f>
        <v>0</v>
      </c>
      <c r="I3" s="12" t="n">
        <f aca="false">COUNTIFS(לוח_שעות!$A$2:$A$87,$A3,לוח_שעות!$R$2:$R$87,"&lt;&gt;")</f>
        <v>2</v>
      </c>
    </row>
    <row r="4" customFormat="false" ht="15" hidden="false" customHeight="false" outlineLevel="0" collapsed="false">
      <c r="A4" s="11" t="s">
        <v>14</v>
      </c>
      <c r="B4" s="11" t="s">
        <v>16</v>
      </c>
      <c r="C4" s="12" t="n">
        <f aca="false">COUNTIF(לוח_שעות!$A$2:$A$87,$A4)</f>
        <v>14</v>
      </c>
      <c r="D4" s="12" t="n">
        <f aca="false">COUNTIFS(לוח_שעות!$A$2:$A$87,$A4,לוח_שעות!$I$2:$I$87,"בוקר")</f>
        <v>7</v>
      </c>
      <c r="E4" s="12" t="n">
        <f aca="false">COUNTIFS(לוח_שעות!$A$2:$A$87,$A4,לוח_שעות!$I$2:$I$87,"ערב")</f>
        <v>7</v>
      </c>
      <c r="F4" s="12" t="n">
        <f aca="false">COUNTIFS(לוח_שעות!$A$2:$A$87,$A4,לוח_שעות!$N$2:$N$87,"")</f>
        <v>1</v>
      </c>
      <c r="G4" s="12" t="n">
        <f aca="false">COUNTIFS(לוח_שעות!$A$2:$A$87,$A4,לוח_שעות!$O$2:$O$87,"")</f>
        <v>1</v>
      </c>
      <c r="H4" s="12" t="n">
        <f aca="false">COUNTIFS(לוח_שעות!$A$2:$A$87,$A4,לוח_שעות!$G$2:$G$87,"")</f>
        <v>2</v>
      </c>
      <c r="I4" s="12" t="n">
        <f aca="false">COUNTIFS(לוח_שעות!$A$2:$A$87,$A4,לוח_שעות!$R$2:$R$87,"&lt;&gt;")</f>
        <v>9</v>
      </c>
    </row>
    <row r="5" customFormat="false" ht="15" hidden="false" customHeight="false" outlineLevel="0" collapsed="false">
      <c r="A5" s="11" t="s">
        <v>18</v>
      </c>
      <c r="B5" s="11" t="s">
        <v>20</v>
      </c>
      <c r="C5" s="12" t="n">
        <f aca="false">COUNTIF(לוח_שעות!$A$2:$A$87,$A5)</f>
        <v>12</v>
      </c>
      <c r="D5" s="12" t="n">
        <f aca="false">COUNTIFS(לוח_שעות!$A$2:$A$87,$A5,לוח_שעות!$I$2:$I$87,"בוקר")</f>
        <v>7</v>
      </c>
      <c r="E5" s="12" t="n">
        <f aca="false">COUNTIFS(לוח_שעות!$A$2:$A$87,$A5,לוח_שעות!$I$2:$I$87,"ערב")</f>
        <v>5</v>
      </c>
      <c r="F5" s="12" t="n">
        <f aca="false">COUNTIFS(לוח_שעות!$A$2:$A$87,$A5,לוח_שעות!$N$2:$N$87,"")</f>
        <v>0</v>
      </c>
      <c r="G5" s="12" t="n">
        <f aca="false">COUNTIFS(לוח_שעות!$A$2:$A$87,$A5,לוח_שעות!$O$2:$O$87,"")</f>
        <v>0</v>
      </c>
      <c r="H5" s="12" t="n">
        <f aca="false">COUNTIFS(לוח_שעות!$A$2:$A$87,$A5,לוח_שעות!$G$2:$G$87,"")</f>
        <v>0</v>
      </c>
      <c r="I5" s="12" t="n">
        <f aca="false">COUNTIFS(לוח_שעות!$A$2:$A$87,$A5,לוח_שעות!$R$2:$R$87,"&lt;&gt;")</f>
        <v>3</v>
      </c>
    </row>
    <row r="6" customFormat="false" ht="15" hidden="false" customHeight="false" outlineLevel="0" collapsed="false">
      <c r="A6" s="11" t="s">
        <v>22</v>
      </c>
      <c r="B6" s="11" t="s">
        <v>24</v>
      </c>
      <c r="C6" s="12" t="n">
        <f aca="false">COUNTIF(לוח_שעות!$A$2:$A$87,$A6)</f>
        <v>14</v>
      </c>
      <c r="D6" s="12" t="n">
        <f aca="false">COUNTIFS(לוח_שעות!$A$2:$A$87,$A6,לוח_שעות!$I$2:$I$87,"בוקר")</f>
        <v>7</v>
      </c>
      <c r="E6" s="12" t="n">
        <f aca="false">COUNTIFS(לוח_שעות!$A$2:$A$87,$A6,לוח_שעות!$I$2:$I$87,"ערב")</f>
        <v>7</v>
      </c>
      <c r="F6" s="12" t="n">
        <f aca="false">COUNTIFS(לוח_שעות!$A$2:$A$87,$A6,לוח_שעות!$N$2:$N$87,"")</f>
        <v>0</v>
      </c>
      <c r="G6" s="12" t="n">
        <f aca="false">COUNTIFS(לוח_שעות!$A$2:$A$87,$A6,לוח_שעות!$O$2:$O$87,"")</f>
        <v>0</v>
      </c>
      <c r="H6" s="12" t="n">
        <f aca="false">COUNTIFS(לוח_שעות!$A$2:$A$87,$A6,לוח_שעות!$G$2:$G$87,"")</f>
        <v>0</v>
      </c>
      <c r="I6" s="12" t="n">
        <f aca="false">COUNTIFS(לוח_שעות!$A$2:$A$87,$A6,לוח_שעות!$R$2:$R$87,"&lt;&gt;")</f>
        <v>2</v>
      </c>
    </row>
    <row r="7" customFormat="false" ht="15" hidden="false" customHeight="false" outlineLevel="0" collapsed="false">
      <c r="A7" s="11" t="s">
        <v>26</v>
      </c>
      <c r="B7" s="11" t="s">
        <v>28</v>
      </c>
      <c r="C7" s="12" t="n">
        <f aca="false">COUNTIF(לוח_שעות!$A$2:$A$87,$A7)</f>
        <v>16</v>
      </c>
      <c r="D7" s="12" t="n">
        <f aca="false">COUNTIFS(לוח_שעות!$A$2:$A$87,$A7,לוח_שעות!$I$2:$I$87,"בוקר")</f>
        <v>8</v>
      </c>
      <c r="E7" s="12" t="n">
        <f aca="false">COUNTIFS(לוח_שעות!$A$2:$A$87,$A7,לוח_שעות!$I$2:$I$87,"ערב")</f>
        <v>8</v>
      </c>
      <c r="F7" s="12" t="n">
        <f aca="false">COUNTIFS(לוח_שעות!$A$2:$A$87,$A7,לוח_שעות!$N$2:$N$87,"")</f>
        <v>1</v>
      </c>
      <c r="G7" s="12" t="n">
        <f aca="false">COUNTIFS(לוח_שעות!$A$2:$A$87,$A7,לוח_שעות!$O$2:$O$87,"")</f>
        <v>1</v>
      </c>
      <c r="H7" s="12" t="n">
        <f aca="false">COUNTIFS(לוח_שעות!$A$2:$A$87,$A7,לוח_שעות!$G$2:$G$87,"")</f>
        <v>0</v>
      </c>
      <c r="I7" s="12" t="n">
        <f aca="false">COUNTIFS(לוח_שעות!$A$2:$A$87,$A7,לוח_שעות!$R$2:$R$87,"&lt;&gt;")</f>
        <v>11</v>
      </c>
    </row>
    <row r="8" customFormat="false" ht="15" hidden="false" customHeight="false" outlineLevel="0" collapsed="false">
      <c r="A8" s="13" t="s">
        <v>340</v>
      </c>
      <c r="B8" s="11"/>
      <c r="C8" s="14" t="n">
        <f aca="false">SUM(C2:C7)</f>
        <v>86</v>
      </c>
      <c r="D8" s="14" t="n">
        <f aca="false">SUM(D2:D7)</f>
        <v>45</v>
      </c>
      <c r="E8" s="14" t="n">
        <f aca="false">SUM(E2:E7)</f>
        <v>41</v>
      </c>
      <c r="F8" s="14" t="n">
        <f aca="false">SUM(F2:F7)</f>
        <v>2</v>
      </c>
      <c r="G8" s="14" t="n">
        <f aca="false">SUM(G2:G7)</f>
        <v>2</v>
      </c>
      <c r="H8" s="14" t="n">
        <f aca="false">SUM(H2:H7)</f>
        <v>2</v>
      </c>
      <c r="I8" s="14" t="n">
        <f aca="false">SUM(I2:I7)</f>
        <v>27</v>
      </c>
    </row>
    <row r="10" customFormat="false" ht="15" hidden="false" customHeight="false" outlineLevel="0" collapsed="false">
      <c r="A10" s="2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34"/>
  </cols>
  <sheetData>
    <row r="1" customFormat="false" ht="26.85" hidden="false" customHeight="false" outlineLevel="0" collapsed="false">
      <c r="A1" s="4" t="s">
        <v>41</v>
      </c>
      <c r="B1" s="4" t="s">
        <v>43</v>
      </c>
      <c r="C1" s="4" t="s">
        <v>342</v>
      </c>
      <c r="D1" s="4" t="s">
        <v>343</v>
      </c>
      <c r="E1" s="4" t="s">
        <v>57</v>
      </c>
    </row>
    <row r="2" customFormat="false" ht="15" hidden="false" customHeight="false" outlineLevel="0" collapsed="false">
      <c r="A2" s="8" t="s">
        <v>6</v>
      </c>
      <c r="B2" s="8" t="s">
        <v>7</v>
      </c>
      <c r="C2" s="8" t="s">
        <v>344</v>
      </c>
      <c r="D2" s="8" t="s">
        <v>345</v>
      </c>
      <c r="E2" s="9" t="s">
        <v>346</v>
      </c>
    </row>
    <row r="3" customFormat="false" ht="15" hidden="false" customHeight="false" outlineLevel="0" collapsed="false">
      <c r="A3" s="8" t="s">
        <v>6</v>
      </c>
      <c r="B3" s="8" t="s">
        <v>7</v>
      </c>
      <c r="C3" s="8" t="s">
        <v>347</v>
      </c>
      <c r="D3" s="8" t="s">
        <v>348</v>
      </c>
      <c r="E3" s="9" t="s">
        <v>349</v>
      </c>
    </row>
    <row r="4" customFormat="false" ht="15" hidden="false" customHeight="false" outlineLevel="0" collapsed="false">
      <c r="A4" s="8" t="s">
        <v>6</v>
      </c>
      <c r="B4" s="8" t="s">
        <v>7</v>
      </c>
      <c r="C4" s="8" t="s">
        <v>350</v>
      </c>
      <c r="D4" s="8" t="s">
        <v>351</v>
      </c>
      <c r="E4" s="9"/>
    </row>
    <row r="5" customFormat="false" ht="15" hidden="false" customHeight="false" outlineLevel="0" collapsed="false">
      <c r="A5" s="8" t="s">
        <v>6</v>
      </c>
      <c r="B5" s="8" t="s">
        <v>7</v>
      </c>
      <c r="C5" s="8" t="s">
        <v>352</v>
      </c>
      <c r="D5" s="8" t="s">
        <v>353</v>
      </c>
      <c r="E5" s="9" t="s">
        <v>354</v>
      </c>
    </row>
    <row r="6" customFormat="false" ht="15" hidden="false" customHeight="false" outlineLevel="0" collapsed="false">
      <c r="A6" s="8" t="s">
        <v>6</v>
      </c>
      <c r="B6" s="8" t="s">
        <v>7</v>
      </c>
      <c r="C6" s="8" t="s">
        <v>355</v>
      </c>
      <c r="D6" s="8" t="s">
        <v>356</v>
      </c>
      <c r="E6" s="9" t="s">
        <v>357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344</v>
      </c>
      <c r="D7" s="8" t="s">
        <v>358</v>
      </c>
      <c r="E7" s="9"/>
    </row>
    <row r="8" customFormat="false" ht="15" hidden="false" customHeight="false" outlineLevel="0" collapsed="false">
      <c r="A8" s="8" t="s">
        <v>10</v>
      </c>
      <c r="B8" s="8" t="s">
        <v>11</v>
      </c>
      <c r="C8" s="8" t="s">
        <v>359</v>
      </c>
      <c r="D8" s="8" t="s">
        <v>360</v>
      </c>
      <c r="E8" s="9" t="s">
        <v>361</v>
      </c>
    </row>
    <row r="9" customFormat="false" ht="15" hidden="false" customHeight="false" outlineLevel="0" collapsed="false">
      <c r="A9" s="8" t="s">
        <v>10</v>
      </c>
      <c r="B9" s="8" t="s">
        <v>11</v>
      </c>
      <c r="C9" s="8" t="s">
        <v>362</v>
      </c>
      <c r="D9" s="8" t="s">
        <v>363</v>
      </c>
      <c r="E9" s="9"/>
    </row>
    <row r="10" customFormat="false" ht="15" hidden="false" customHeight="false" outlineLevel="0" collapsed="false">
      <c r="A10" s="8" t="s">
        <v>10</v>
      </c>
      <c r="B10" s="8" t="s">
        <v>11</v>
      </c>
      <c r="C10" s="8" t="s">
        <v>364</v>
      </c>
      <c r="D10" s="8" t="s">
        <v>365</v>
      </c>
      <c r="E10" s="9" t="s">
        <v>366</v>
      </c>
    </row>
    <row r="11" customFormat="false" ht="15" hidden="false" customHeight="false" outlineLevel="0" collapsed="false">
      <c r="A11" s="8" t="s">
        <v>10</v>
      </c>
      <c r="B11" s="8" t="s">
        <v>11</v>
      </c>
      <c r="C11" s="8" t="s">
        <v>367</v>
      </c>
      <c r="D11" s="8" t="s">
        <v>368</v>
      </c>
      <c r="E11" s="9" t="s">
        <v>369</v>
      </c>
    </row>
    <row r="12" customFormat="false" ht="15" hidden="false" customHeight="false" outlineLevel="0" collapsed="false">
      <c r="A12" s="8" t="s">
        <v>14</v>
      </c>
      <c r="B12" s="8" t="s">
        <v>15</v>
      </c>
      <c r="C12" s="8" t="s">
        <v>344</v>
      </c>
      <c r="D12" s="8" t="s">
        <v>370</v>
      </c>
      <c r="E12" s="9" t="s">
        <v>371</v>
      </c>
    </row>
    <row r="13" customFormat="false" ht="15" hidden="false" customHeight="false" outlineLevel="0" collapsed="false">
      <c r="A13" s="8" t="s">
        <v>14</v>
      </c>
      <c r="B13" s="8" t="s">
        <v>15</v>
      </c>
      <c r="C13" s="8" t="s">
        <v>372</v>
      </c>
      <c r="D13" s="8" t="s">
        <v>373</v>
      </c>
      <c r="E13" s="9"/>
    </row>
    <row r="14" customFormat="false" ht="15" hidden="false" customHeight="false" outlineLevel="0" collapsed="false">
      <c r="A14" s="8" t="s">
        <v>14</v>
      </c>
      <c r="B14" s="8" t="s">
        <v>15</v>
      </c>
      <c r="C14" s="8" t="s">
        <v>362</v>
      </c>
      <c r="D14" s="8" t="s">
        <v>374</v>
      </c>
      <c r="E14" s="9" t="s">
        <v>375</v>
      </c>
    </row>
    <row r="15" customFormat="false" ht="15" hidden="false" customHeight="false" outlineLevel="0" collapsed="false">
      <c r="A15" s="8" t="s">
        <v>14</v>
      </c>
      <c r="B15" s="8" t="s">
        <v>15</v>
      </c>
      <c r="C15" s="8" t="s">
        <v>376</v>
      </c>
      <c r="D15" s="8" t="s">
        <v>377</v>
      </c>
      <c r="E15" s="9" t="s">
        <v>369</v>
      </c>
    </row>
    <row r="16" customFormat="false" ht="15" hidden="false" customHeight="false" outlineLevel="0" collapsed="false">
      <c r="A16" s="8" t="s">
        <v>14</v>
      </c>
      <c r="B16" s="8" t="s">
        <v>15</v>
      </c>
      <c r="C16" s="8" t="s">
        <v>378</v>
      </c>
      <c r="D16" s="8" t="s">
        <v>379</v>
      </c>
      <c r="E16" s="9" t="s">
        <v>380</v>
      </c>
    </row>
    <row r="17" customFormat="false" ht="15" hidden="false" customHeight="false" outlineLevel="0" collapsed="false">
      <c r="A17" s="8" t="s">
        <v>18</v>
      </c>
      <c r="B17" s="8" t="s">
        <v>19</v>
      </c>
      <c r="C17" s="8" t="s">
        <v>381</v>
      </c>
      <c r="D17" s="8" t="s">
        <v>382</v>
      </c>
      <c r="E17" s="9" t="s">
        <v>383</v>
      </c>
    </row>
    <row r="18" customFormat="false" ht="15" hidden="false" customHeight="false" outlineLevel="0" collapsed="false">
      <c r="A18" s="8" t="s">
        <v>18</v>
      </c>
      <c r="B18" s="8" t="s">
        <v>19</v>
      </c>
      <c r="C18" s="8" t="s">
        <v>384</v>
      </c>
      <c r="D18" s="8" t="s">
        <v>385</v>
      </c>
      <c r="E18" s="9"/>
    </row>
    <row r="19" customFormat="false" ht="15" hidden="false" customHeight="false" outlineLevel="0" collapsed="false">
      <c r="A19" s="8" t="s">
        <v>18</v>
      </c>
      <c r="B19" s="8" t="s">
        <v>19</v>
      </c>
      <c r="C19" s="8" t="s">
        <v>386</v>
      </c>
      <c r="D19" s="8" t="s">
        <v>387</v>
      </c>
      <c r="E19" s="9"/>
    </row>
    <row r="20" customFormat="false" ht="15" hidden="false" customHeight="false" outlineLevel="0" collapsed="false">
      <c r="A20" s="8" t="s">
        <v>18</v>
      </c>
      <c r="B20" s="8" t="s">
        <v>19</v>
      </c>
      <c r="C20" s="8" t="s">
        <v>388</v>
      </c>
      <c r="D20" s="8" t="s">
        <v>389</v>
      </c>
      <c r="E20" s="9" t="s">
        <v>390</v>
      </c>
    </row>
    <row r="21" customFormat="false" ht="15" hidden="false" customHeight="false" outlineLevel="0" collapsed="false">
      <c r="A21" s="8" t="s">
        <v>22</v>
      </c>
      <c r="B21" s="8" t="s">
        <v>23</v>
      </c>
      <c r="C21" s="8" t="s">
        <v>391</v>
      </c>
      <c r="D21" s="8" t="s">
        <v>392</v>
      </c>
      <c r="E21" s="9" t="s">
        <v>393</v>
      </c>
    </row>
    <row r="22" customFormat="false" ht="15" hidden="false" customHeight="false" outlineLevel="0" collapsed="false">
      <c r="A22" s="8" t="s">
        <v>22</v>
      </c>
      <c r="B22" s="8" t="s">
        <v>23</v>
      </c>
      <c r="C22" s="8" t="s">
        <v>394</v>
      </c>
      <c r="D22" s="8" t="s">
        <v>395</v>
      </c>
      <c r="E22" s="9"/>
    </row>
    <row r="23" customFormat="false" ht="15" hidden="false" customHeight="false" outlineLevel="0" collapsed="false">
      <c r="A23" s="8" t="s">
        <v>22</v>
      </c>
      <c r="B23" s="8" t="s">
        <v>23</v>
      </c>
      <c r="C23" s="8" t="s">
        <v>396</v>
      </c>
      <c r="D23" s="8" t="s">
        <v>397</v>
      </c>
      <c r="E23" s="9"/>
    </row>
    <row r="24" customFormat="false" ht="15" hidden="false" customHeight="false" outlineLevel="0" collapsed="false">
      <c r="A24" s="8" t="s">
        <v>22</v>
      </c>
      <c r="B24" s="8" t="s">
        <v>23</v>
      </c>
      <c r="C24" s="8" t="s">
        <v>398</v>
      </c>
      <c r="D24" s="8" t="s">
        <v>399</v>
      </c>
      <c r="E24" s="9" t="s">
        <v>400</v>
      </c>
    </row>
    <row r="25" customFormat="false" ht="15" hidden="false" customHeight="false" outlineLevel="0" collapsed="false">
      <c r="A25" s="8" t="s">
        <v>22</v>
      </c>
      <c r="B25" s="8" t="s">
        <v>23</v>
      </c>
      <c r="C25" s="8" t="s">
        <v>401</v>
      </c>
      <c r="D25" s="8" t="s">
        <v>402</v>
      </c>
      <c r="E25" s="9"/>
    </row>
    <row r="26" customFormat="false" ht="15" hidden="false" customHeight="false" outlineLevel="0" collapsed="false">
      <c r="A26" s="8" t="s">
        <v>26</v>
      </c>
      <c r="B26" s="8" t="s">
        <v>27</v>
      </c>
      <c r="C26" s="8" t="s">
        <v>344</v>
      </c>
      <c r="D26" s="8" t="s">
        <v>403</v>
      </c>
      <c r="E26" s="9" t="s">
        <v>404</v>
      </c>
    </row>
    <row r="27" customFormat="false" ht="15" hidden="false" customHeight="false" outlineLevel="0" collapsed="false">
      <c r="A27" s="8" t="s">
        <v>26</v>
      </c>
      <c r="B27" s="8" t="s">
        <v>27</v>
      </c>
      <c r="C27" s="8" t="s">
        <v>347</v>
      </c>
      <c r="D27" s="8" t="s">
        <v>405</v>
      </c>
      <c r="E27" s="9" t="s">
        <v>406</v>
      </c>
    </row>
    <row r="28" customFormat="false" ht="15" hidden="false" customHeight="false" outlineLevel="0" collapsed="false">
      <c r="A28" s="8" t="s">
        <v>26</v>
      </c>
      <c r="B28" s="8" t="s">
        <v>27</v>
      </c>
      <c r="C28" s="8" t="s">
        <v>362</v>
      </c>
      <c r="D28" s="8" t="s">
        <v>407</v>
      </c>
      <c r="E28" s="9"/>
    </row>
    <row r="29" customFormat="false" ht="15" hidden="false" customHeight="false" outlineLevel="0" collapsed="false">
      <c r="A29" s="8" t="s">
        <v>26</v>
      </c>
      <c r="B29" s="8" t="s">
        <v>27</v>
      </c>
      <c r="C29" s="8" t="s">
        <v>408</v>
      </c>
      <c r="D29" s="8" t="s">
        <v>409</v>
      </c>
      <c r="E29" s="9" t="s">
        <v>410</v>
      </c>
    </row>
    <row r="30" customFormat="false" ht="15" hidden="false" customHeight="false" outlineLevel="0" collapsed="false">
      <c r="A30" s="8" t="s">
        <v>26</v>
      </c>
      <c r="B30" s="8" t="s">
        <v>27</v>
      </c>
      <c r="C30" s="8" t="s">
        <v>411</v>
      </c>
      <c r="D30" s="8" t="s">
        <v>412</v>
      </c>
      <c r="E30" s="9" t="s">
        <v>413</v>
      </c>
    </row>
  </sheetData>
  <autoFilter ref="A1:E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4" t="s">
        <v>41</v>
      </c>
      <c r="B1" s="4" t="s">
        <v>43</v>
      </c>
      <c r="C1" s="4" t="s">
        <v>414</v>
      </c>
      <c r="D1" s="4" t="s">
        <v>415</v>
      </c>
      <c r="E1" s="4" t="s">
        <v>416</v>
      </c>
      <c r="F1" s="4" t="s">
        <v>57</v>
      </c>
    </row>
    <row r="2" customFormat="false" ht="15" hidden="false" customHeight="false" outlineLevel="0" collapsed="false">
      <c r="A2" s="8" t="s">
        <v>6</v>
      </c>
      <c r="B2" s="8" t="s">
        <v>7</v>
      </c>
      <c r="C2" s="8" t="s">
        <v>417</v>
      </c>
      <c r="D2" s="8" t="s">
        <v>418</v>
      </c>
      <c r="E2" s="8" t="s">
        <v>419</v>
      </c>
      <c r="F2" s="9" t="s">
        <v>420</v>
      </c>
    </row>
    <row r="3" customFormat="false" ht="15" hidden="false" customHeight="false" outlineLevel="0" collapsed="false">
      <c r="A3" s="8" t="s">
        <v>6</v>
      </c>
      <c r="B3" s="8" t="s">
        <v>7</v>
      </c>
      <c r="C3" s="8" t="s">
        <v>124</v>
      </c>
      <c r="D3" s="8" t="s">
        <v>418</v>
      </c>
      <c r="E3" s="8" t="s">
        <v>421</v>
      </c>
      <c r="F3" s="9"/>
    </row>
    <row r="4" customFormat="false" ht="15" hidden="false" customHeight="false" outlineLevel="0" collapsed="false">
      <c r="A4" s="8" t="s">
        <v>6</v>
      </c>
      <c r="B4" s="8" t="s">
        <v>7</v>
      </c>
      <c r="C4" s="8" t="s">
        <v>325</v>
      </c>
      <c r="D4" s="8" t="s">
        <v>60</v>
      </c>
      <c r="E4" s="8" t="s">
        <v>292</v>
      </c>
      <c r="F4" s="9"/>
    </row>
    <row r="5" customFormat="false" ht="15" hidden="false" customHeight="false" outlineLevel="0" collapsed="false">
      <c r="A5" s="8" t="s">
        <v>10</v>
      </c>
      <c r="B5" s="8" t="s">
        <v>11</v>
      </c>
      <c r="C5" s="8" t="s">
        <v>417</v>
      </c>
      <c r="D5" s="8" t="s">
        <v>259</v>
      </c>
      <c r="E5" s="8" t="s">
        <v>422</v>
      </c>
      <c r="F5" s="9" t="s">
        <v>423</v>
      </c>
    </row>
    <row r="6" customFormat="false" ht="15" hidden="false" customHeight="false" outlineLevel="0" collapsed="false">
      <c r="A6" s="8" t="s">
        <v>10</v>
      </c>
      <c r="B6" s="8" t="s">
        <v>11</v>
      </c>
      <c r="C6" s="8" t="s">
        <v>124</v>
      </c>
      <c r="D6" s="8" t="s">
        <v>286</v>
      </c>
      <c r="E6" s="8" t="s">
        <v>424</v>
      </c>
      <c r="F6" s="9"/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325</v>
      </c>
      <c r="D7" s="8" t="s">
        <v>425</v>
      </c>
      <c r="E7" s="8" t="s">
        <v>425</v>
      </c>
      <c r="F7" s="9"/>
    </row>
    <row r="8" customFormat="false" ht="26.85" hidden="false" customHeight="false" outlineLevel="0" collapsed="false">
      <c r="A8" s="8" t="s">
        <v>14</v>
      </c>
      <c r="B8" s="8" t="s">
        <v>15</v>
      </c>
      <c r="C8" s="8" t="s">
        <v>426</v>
      </c>
      <c r="D8" s="8" t="s">
        <v>418</v>
      </c>
      <c r="E8" s="8" t="s">
        <v>422</v>
      </c>
      <c r="F8" s="9" t="s">
        <v>427</v>
      </c>
    </row>
    <row r="9" customFormat="false" ht="15" hidden="false" customHeight="false" outlineLevel="0" collapsed="false">
      <c r="A9" s="8" t="s">
        <v>14</v>
      </c>
      <c r="B9" s="8" t="s">
        <v>15</v>
      </c>
      <c r="C9" s="8" t="s">
        <v>428</v>
      </c>
      <c r="D9" s="8" t="s">
        <v>418</v>
      </c>
      <c r="E9" s="8" t="s">
        <v>292</v>
      </c>
      <c r="F9" s="9"/>
    </row>
    <row r="10" customFormat="false" ht="15" hidden="false" customHeight="false" outlineLevel="0" collapsed="false">
      <c r="A10" s="8" t="s">
        <v>14</v>
      </c>
      <c r="B10" s="8" t="s">
        <v>15</v>
      </c>
      <c r="C10" s="8" t="s">
        <v>325</v>
      </c>
      <c r="D10" s="8" t="s">
        <v>67</v>
      </c>
      <c r="E10" s="8" t="s">
        <v>424</v>
      </c>
      <c r="F10" s="9"/>
    </row>
    <row r="11" customFormat="false" ht="26.85" hidden="false" customHeight="false" outlineLevel="0" collapsed="false">
      <c r="A11" s="8" t="s">
        <v>18</v>
      </c>
      <c r="B11" s="8" t="s">
        <v>19</v>
      </c>
      <c r="C11" s="8" t="s">
        <v>429</v>
      </c>
      <c r="D11" s="8" t="s">
        <v>430</v>
      </c>
      <c r="E11" s="8" t="s">
        <v>431</v>
      </c>
      <c r="F11" s="9" t="s">
        <v>432</v>
      </c>
    </row>
    <row r="12" customFormat="false" ht="15" hidden="false" customHeight="false" outlineLevel="0" collapsed="false">
      <c r="A12" s="8" t="s">
        <v>18</v>
      </c>
      <c r="B12" s="8" t="s">
        <v>19</v>
      </c>
      <c r="C12" s="8" t="s">
        <v>249</v>
      </c>
      <c r="D12" s="8" t="s">
        <v>430</v>
      </c>
      <c r="E12" s="8" t="s">
        <v>433</v>
      </c>
      <c r="F12" s="9"/>
    </row>
    <row r="13" customFormat="false" ht="15" hidden="false" customHeight="false" outlineLevel="0" collapsed="false">
      <c r="A13" s="8" t="s">
        <v>18</v>
      </c>
      <c r="B13" s="8" t="s">
        <v>19</v>
      </c>
      <c r="C13" s="8" t="s">
        <v>434</v>
      </c>
      <c r="D13" s="8" t="s">
        <v>435</v>
      </c>
      <c r="E13" s="8" t="s">
        <v>436</v>
      </c>
      <c r="F13" s="9"/>
    </row>
    <row r="14" customFormat="false" ht="15" hidden="false" customHeight="false" outlineLevel="0" collapsed="false">
      <c r="A14" s="8" t="s">
        <v>22</v>
      </c>
      <c r="B14" s="8" t="s">
        <v>23</v>
      </c>
      <c r="C14" s="8" t="s">
        <v>417</v>
      </c>
      <c r="D14" s="8" t="s">
        <v>418</v>
      </c>
      <c r="E14" s="8" t="s">
        <v>437</v>
      </c>
      <c r="F14" s="9" t="s">
        <v>438</v>
      </c>
    </row>
    <row r="15" customFormat="false" ht="15" hidden="false" customHeight="false" outlineLevel="0" collapsed="false">
      <c r="A15" s="8" t="s">
        <v>22</v>
      </c>
      <c r="B15" s="8" t="s">
        <v>23</v>
      </c>
      <c r="C15" s="8" t="s">
        <v>124</v>
      </c>
      <c r="D15" s="8" t="s">
        <v>259</v>
      </c>
      <c r="E15" s="8" t="s">
        <v>292</v>
      </c>
      <c r="F15" s="9"/>
    </row>
    <row r="16" customFormat="false" ht="15" hidden="false" customHeight="false" outlineLevel="0" collapsed="false">
      <c r="A16" s="8" t="s">
        <v>22</v>
      </c>
      <c r="B16" s="8" t="s">
        <v>23</v>
      </c>
      <c r="C16" s="8" t="s">
        <v>325</v>
      </c>
      <c r="D16" s="8" t="s">
        <v>87</v>
      </c>
      <c r="E16" s="8" t="s">
        <v>181</v>
      </c>
      <c r="F16" s="9"/>
    </row>
    <row r="17" customFormat="false" ht="26.85" hidden="false" customHeight="false" outlineLevel="0" collapsed="false">
      <c r="A17" s="8" t="s">
        <v>26</v>
      </c>
      <c r="B17" s="8" t="s">
        <v>27</v>
      </c>
      <c r="C17" s="8" t="s">
        <v>439</v>
      </c>
      <c r="D17" s="8" t="s">
        <v>440</v>
      </c>
      <c r="E17" s="8" t="s">
        <v>437</v>
      </c>
      <c r="F17" s="9" t="s">
        <v>441</v>
      </c>
    </row>
    <row r="18" customFormat="false" ht="15" hidden="false" customHeight="false" outlineLevel="0" collapsed="false">
      <c r="A18" s="8" t="s">
        <v>26</v>
      </c>
      <c r="B18" s="8" t="s">
        <v>27</v>
      </c>
      <c r="C18" s="8" t="s">
        <v>442</v>
      </c>
      <c r="D18" s="8" t="s">
        <v>418</v>
      </c>
      <c r="E18" s="8" t="s">
        <v>422</v>
      </c>
      <c r="F18" s="9"/>
    </row>
    <row r="19" customFormat="false" ht="15" hidden="false" customHeight="false" outlineLevel="0" collapsed="false">
      <c r="A19" s="8" t="s">
        <v>26</v>
      </c>
      <c r="B19" s="8" t="s">
        <v>27</v>
      </c>
      <c r="C19" s="8" t="s">
        <v>124</v>
      </c>
      <c r="D19" s="8" t="s">
        <v>418</v>
      </c>
      <c r="E19" s="8" t="s">
        <v>292</v>
      </c>
      <c r="F19" s="9"/>
    </row>
    <row r="20" customFormat="false" ht="15" hidden="false" customHeight="false" outlineLevel="0" collapsed="false">
      <c r="A20" s="8" t="s">
        <v>26</v>
      </c>
      <c r="B20" s="8" t="s">
        <v>27</v>
      </c>
      <c r="C20" s="8" t="s">
        <v>325</v>
      </c>
      <c r="D20" s="8" t="s">
        <v>67</v>
      </c>
      <c r="E20" s="8" t="s">
        <v>181</v>
      </c>
      <c r="F2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5" t="s">
        <v>443</v>
      </c>
    </row>
    <row r="2" customFormat="false" ht="91" hidden="false" customHeight="false" outlineLevel="0" collapsed="false">
      <c r="A2" s="16" t="s">
        <v>444</v>
      </c>
    </row>
    <row r="4" customFormat="false" ht="15" hidden="false" customHeight="false" outlineLevel="0" collapsed="false">
      <c r="A4" s="17" t="s">
        <v>44</v>
      </c>
      <c r="B4" s="17" t="s">
        <v>46</v>
      </c>
      <c r="C4" s="17" t="s">
        <v>51</v>
      </c>
      <c r="D4" s="17" t="s">
        <v>54</v>
      </c>
      <c r="E4" s="17" t="s">
        <v>55</v>
      </c>
      <c r="F4" s="17" t="s">
        <v>56</v>
      </c>
      <c r="G4" s="17" t="s">
        <v>445</v>
      </c>
    </row>
    <row r="5" customFormat="false" ht="15" hidden="false" customHeight="false" outlineLevel="0" collapsed="false">
      <c r="A5" s="8" t="s">
        <v>59</v>
      </c>
      <c r="B5" s="8" t="s">
        <v>60</v>
      </c>
      <c r="C5" s="8" t="s">
        <v>63</v>
      </c>
      <c r="D5" s="8" t="s">
        <v>446</v>
      </c>
      <c r="E5" s="8" t="s">
        <v>65</v>
      </c>
      <c r="F5" s="8"/>
      <c r="G5" s="9" t="s">
        <v>447</v>
      </c>
    </row>
    <row r="6" customFormat="false" ht="15" hidden="false" customHeight="false" outlineLevel="0" collapsed="false">
      <c r="A6" s="8" t="s">
        <v>85</v>
      </c>
      <c r="B6" s="8" t="s">
        <v>86</v>
      </c>
      <c r="C6" s="8" t="s">
        <v>63</v>
      </c>
      <c r="D6" s="8" t="s">
        <v>306</v>
      </c>
      <c r="E6" s="8" t="s">
        <v>65</v>
      </c>
      <c r="F6" s="8"/>
      <c r="G6" s="9" t="s">
        <v>447</v>
      </c>
    </row>
    <row r="7" customFormat="false" ht="15" hidden="false" customHeight="false" outlineLevel="0" collapsed="false">
      <c r="A7" s="8" t="s">
        <v>100</v>
      </c>
      <c r="B7" s="8" t="s">
        <v>86</v>
      </c>
      <c r="C7" s="8" t="s">
        <v>63</v>
      </c>
      <c r="D7" s="8" t="s">
        <v>280</v>
      </c>
      <c r="E7" s="8" t="s">
        <v>65</v>
      </c>
      <c r="F7" s="8"/>
      <c r="G7" s="9" t="s">
        <v>447</v>
      </c>
    </row>
    <row r="8" customFormat="false" ht="15" hidden="false" customHeight="false" outlineLevel="0" collapsed="false">
      <c r="A8" s="8" t="s">
        <v>108</v>
      </c>
      <c r="B8" s="8" t="s">
        <v>86</v>
      </c>
      <c r="C8" s="8" t="s">
        <v>63</v>
      </c>
      <c r="D8" s="8" t="s">
        <v>306</v>
      </c>
      <c r="E8" s="8" t="s">
        <v>65</v>
      </c>
      <c r="F8" s="8"/>
      <c r="G8" s="9" t="s">
        <v>447</v>
      </c>
    </row>
    <row r="9" customFormat="false" ht="15" hidden="false" customHeight="false" outlineLevel="0" collapsed="false">
      <c r="A9" s="8" t="s">
        <v>119</v>
      </c>
      <c r="B9" s="8" t="s">
        <v>86</v>
      </c>
      <c r="C9" s="8" t="s">
        <v>63</v>
      </c>
      <c r="D9" s="8" t="s">
        <v>280</v>
      </c>
      <c r="E9" s="8" t="s">
        <v>65</v>
      </c>
      <c r="F9" s="8"/>
      <c r="G9" s="9" t="s">
        <v>447</v>
      </c>
    </row>
    <row r="10" customFormat="false" ht="15" hidden="false" customHeight="false" outlineLevel="0" collapsed="false">
      <c r="A10" s="8" t="s">
        <v>124</v>
      </c>
      <c r="B10" s="8" t="s">
        <v>87</v>
      </c>
      <c r="C10" s="8" t="s">
        <v>76</v>
      </c>
      <c r="D10" s="8" t="s">
        <v>125</v>
      </c>
      <c r="E10" s="8" t="s">
        <v>91</v>
      </c>
      <c r="F10" s="8"/>
      <c r="G10" s="9" t="s">
        <v>447</v>
      </c>
    </row>
    <row r="11" customFormat="false" ht="15" hidden="false" customHeight="false" outlineLevel="0" collapsed="false">
      <c r="A11" s="8" t="s">
        <v>59</v>
      </c>
      <c r="B11" s="8" t="s">
        <v>67</v>
      </c>
      <c r="C11" s="8" t="s">
        <v>70</v>
      </c>
      <c r="D11" s="8" t="s">
        <v>306</v>
      </c>
      <c r="E11" s="8" t="s">
        <v>65</v>
      </c>
      <c r="F11" s="8"/>
      <c r="G11" s="9" t="s">
        <v>448</v>
      </c>
    </row>
    <row r="12" customFormat="false" ht="15" hidden="false" customHeight="false" outlineLevel="0" collapsed="false">
      <c r="A12" s="8" t="s">
        <v>85</v>
      </c>
      <c r="B12" s="8" t="s">
        <v>87</v>
      </c>
      <c r="C12" s="8" t="s">
        <v>76</v>
      </c>
      <c r="D12" s="8" t="s">
        <v>306</v>
      </c>
      <c r="E12" s="8" t="s">
        <v>91</v>
      </c>
      <c r="F12" s="8" t="s">
        <v>72</v>
      </c>
      <c r="G12" s="9" t="s">
        <v>447</v>
      </c>
    </row>
    <row r="13" customFormat="false" ht="15" hidden="false" customHeight="false" outlineLevel="0" collapsed="false">
      <c r="A13" s="8" t="s">
        <v>100</v>
      </c>
      <c r="B13" s="8" t="s">
        <v>67</v>
      </c>
      <c r="C13" s="8" t="s">
        <v>70</v>
      </c>
      <c r="D13" s="8" t="s">
        <v>306</v>
      </c>
      <c r="E13" s="8" t="s">
        <v>65</v>
      </c>
      <c r="F13" s="8"/>
      <c r="G13" s="9" t="s">
        <v>447</v>
      </c>
    </row>
    <row r="14" customFormat="false" ht="15" hidden="false" customHeight="false" outlineLevel="0" collapsed="false">
      <c r="A14" s="8" t="s">
        <v>108</v>
      </c>
      <c r="B14" s="8" t="s">
        <v>67</v>
      </c>
      <c r="C14" s="8" t="s">
        <v>70</v>
      </c>
      <c r="D14" s="8" t="s">
        <v>306</v>
      </c>
      <c r="E14" s="8" t="s">
        <v>65</v>
      </c>
      <c r="F14" s="8" t="s">
        <v>72</v>
      </c>
      <c r="G14" s="9" t="s">
        <v>447</v>
      </c>
    </row>
    <row r="15" customFormat="false" ht="15" hidden="false" customHeight="false" outlineLevel="0" collapsed="false">
      <c r="A15" s="8" t="s">
        <v>119</v>
      </c>
      <c r="B15" s="8" t="s">
        <v>87</v>
      </c>
      <c r="C15" s="8" t="s">
        <v>76</v>
      </c>
      <c r="D15" s="8" t="s">
        <v>275</v>
      </c>
      <c r="E15" s="8" t="s">
        <v>91</v>
      </c>
      <c r="F15" s="8" t="s">
        <v>72</v>
      </c>
      <c r="G15" s="9" t="s">
        <v>447</v>
      </c>
    </row>
    <row r="16" customFormat="false" ht="15" hidden="false" customHeight="false" outlineLevel="0" collapsed="false">
      <c r="A16" s="8" t="s">
        <v>124</v>
      </c>
      <c r="B16" s="8" t="s">
        <v>87</v>
      </c>
      <c r="C16" s="8" t="s">
        <v>97</v>
      </c>
      <c r="D16" s="8" t="s">
        <v>98</v>
      </c>
      <c r="E16" s="8" t="s">
        <v>99</v>
      </c>
      <c r="F16" s="8" t="s">
        <v>72</v>
      </c>
      <c r="G16" s="9" t="s">
        <v>449</v>
      </c>
    </row>
    <row r="17" customFormat="false" ht="15" hidden="false" customHeight="false" outlineLevel="0" collapsed="false">
      <c r="A17" s="8" t="s">
        <v>59</v>
      </c>
      <c r="B17" s="8" t="s">
        <v>450</v>
      </c>
      <c r="C17" s="8" t="s">
        <v>137</v>
      </c>
      <c r="D17" s="8" t="s">
        <v>275</v>
      </c>
      <c r="E17" s="8" t="s">
        <v>78</v>
      </c>
      <c r="F17" s="8"/>
      <c r="G17" s="9" t="s">
        <v>447</v>
      </c>
    </row>
    <row r="18" customFormat="false" ht="15" hidden="false" customHeight="false" outlineLevel="0" collapsed="false">
      <c r="A18" s="8" t="s">
        <v>85</v>
      </c>
      <c r="B18" s="8" t="s">
        <v>110</v>
      </c>
      <c r="C18" s="8" t="s">
        <v>89</v>
      </c>
      <c r="D18" s="8" t="s">
        <v>90</v>
      </c>
      <c r="E18" s="8" t="s">
        <v>91</v>
      </c>
      <c r="F18" s="8" t="s">
        <v>72</v>
      </c>
      <c r="G18" s="9" t="s">
        <v>447</v>
      </c>
    </row>
    <row r="19" customFormat="false" ht="15" hidden="false" customHeight="false" outlineLevel="0" collapsed="false">
      <c r="A19" s="8" t="s">
        <v>100</v>
      </c>
      <c r="B19" s="8" t="s">
        <v>450</v>
      </c>
      <c r="C19" s="8" t="s">
        <v>137</v>
      </c>
      <c r="D19" s="8" t="s">
        <v>275</v>
      </c>
      <c r="E19" s="8" t="s">
        <v>78</v>
      </c>
      <c r="F19" s="8"/>
      <c r="G19" s="9" t="s">
        <v>447</v>
      </c>
    </row>
    <row r="20" customFormat="false" ht="15" hidden="false" customHeight="false" outlineLevel="0" collapsed="false">
      <c r="A20" s="8" t="s">
        <v>108</v>
      </c>
      <c r="B20" s="8" t="s">
        <v>451</v>
      </c>
      <c r="C20" s="8" t="s">
        <v>76</v>
      </c>
      <c r="D20" s="8" t="s">
        <v>125</v>
      </c>
      <c r="E20" s="8" t="s">
        <v>91</v>
      </c>
      <c r="F20" s="8" t="s">
        <v>72</v>
      </c>
      <c r="G20" s="9" t="s">
        <v>447</v>
      </c>
    </row>
    <row r="21" customFormat="false" ht="15" hidden="false" customHeight="false" outlineLevel="0" collapsed="false">
      <c r="A21" s="8" t="s">
        <v>119</v>
      </c>
      <c r="B21" s="8" t="s">
        <v>109</v>
      </c>
      <c r="C21" s="8" t="s">
        <v>112</v>
      </c>
      <c r="D21" s="8" t="s">
        <v>113</v>
      </c>
      <c r="E21" s="8" t="s">
        <v>114</v>
      </c>
      <c r="F21" s="8"/>
      <c r="G21" s="9" t="s">
        <v>452</v>
      </c>
    </row>
    <row r="22" customFormat="false" ht="15" hidden="false" customHeight="false" outlineLevel="0" collapsed="false">
      <c r="A22" s="8" t="s">
        <v>453</v>
      </c>
      <c r="B22" s="8" t="s">
        <v>269</v>
      </c>
      <c r="C22" s="8" t="s">
        <v>147</v>
      </c>
      <c r="D22" s="8" t="s">
        <v>148</v>
      </c>
      <c r="E22" s="8" t="s">
        <v>91</v>
      </c>
      <c r="F22" s="8"/>
      <c r="G22" s="9" t="s">
        <v>454</v>
      </c>
    </row>
    <row r="23" customFormat="false" ht="15" hidden="false" customHeight="false" outlineLevel="0" collapsed="false">
      <c r="A23" s="8" t="s">
        <v>59</v>
      </c>
      <c r="B23" s="8" t="s">
        <v>120</v>
      </c>
      <c r="C23" s="8" t="s">
        <v>95</v>
      </c>
      <c r="D23" s="8" t="s">
        <v>455</v>
      </c>
      <c r="E23" s="8" t="s">
        <v>78</v>
      </c>
      <c r="F23" s="8"/>
      <c r="G23" s="9" t="s">
        <v>447</v>
      </c>
    </row>
    <row r="24" customFormat="false" ht="15" hidden="false" customHeight="false" outlineLevel="0" collapsed="false">
      <c r="A24" s="8" t="s">
        <v>59</v>
      </c>
      <c r="B24" s="8" t="s">
        <v>456</v>
      </c>
      <c r="C24" s="8" t="s">
        <v>192</v>
      </c>
      <c r="D24" s="8" t="s">
        <v>455</v>
      </c>
      <c r="E24" s="8" t="s">
        <v>78</v>
      </c>
      <c r="F24" s="8" t="s">
        <v>72</v>
      </c>
      <c r="G24" s="9" t="s">
        <v>447</v>
      </c>
    </row>
    <row r="25" customFormat="false" ht="15" hidden="false" customHeight="false" outlineLevel="0" collapsed="false">
      <c r="A25" s="8" t="s">
        <v>85</v>
      </c>
      <c r="B25" s="8" t="s">
        <v>457</v>
      </c>
      <c r="C25" s="8" t="s">
        <v>76</v>
      </c>
      <c r="D25" s="8" t="s">
        <v>113</v>
      </c>
      <c r="E25" s="8" t="s">
        <v>78</v>
      </c>
      <c r="F25" s="8"/>
      <c r="G25" s="9" t="s">
        <v>447</v>
      </c>
    </row>
    <row r="26" customFormat="false" ht="15" hidden="false" customHeight="false" outlineLevel="0" collapsed="false">
      <c r="A26" s="8" t="s">
        <v>85</v>
      </c>
      <c r="B26" s="8" t="s">
        <v>255</v>
      </c>
      <c r="C26" s="8" t="s">
        <v>137</v>
      </c>
      <c r="D26" s="8" t="s">
        <v>113</v>
      </c>
      <c r="E26" s="8" t="s">
        <v>78</v>
      </c>
      <c r="F26" s="8" t="s">
        <v>72</v>
      </c>
      <c r="G26" s="9" t="s">
        <v>447</v>
      </c>
    </row>
    <row r="27" customFormat="false" ht="15" hidden="false" customHeight="false" outlineLevel="0" collapsed="false">
      <c r="A27" s="8" t="s">
        <v>100</v>
      </c>
      <c r="B27" s="8" t="s">
        <v>92</v>
      </c>
      <c r="C27" s="8" t="s">
        <v>76</v>
      </c>
      <c r="D27" s="8" t="s">
        <v>306</v>
      </c>
      <c r="E27" s="8" t="s">
        <v>84</v>
      </c>
      <c r="F27" s="8"/>
      <c r="G27" s="9" t="s">
        <v>447</v>
      </c>
    </row>
    <row r="28" customFormat="false" ht="15" hidden="false" customHeight="false" outlineLevel="0" collapsed="false">
      <c r="A28" s="8" t="s">
        <v>108</v>
      </c>
      <c r="B28" s="8" t="s">
        <v>120</v>
      </c>
      <c r="C28" s="8" t="s">
        <v>76</v>
      </c>
      <c r="D28" s="8" t="s">
        <v>455</v>
      </c>
      <c r="E28" s="8" t="s">
        <v>78</v>
      </c>
      <c r="F28" s="8" t="s">
        <v>72</v>
      </c>
      <c r="G28" s="9" t="s">
        <v>458</v>
      </c>
    </row>
    <row r="29" customFormat="false" ht="15" hidden="false" customHeight="false" outlineLevel="0" collapsed="false">
      <c r="A29" s="8" t="s">
        <v>453</v>
      </c>
      <c r="B29" s="8" t="s">
        <v>115</v>
      </c>
      <c r="C29" s="8" t="s">
        <v>82</v>
      </c>
      <c r="D29" s="8" t="s">
        <v>146</v>
      </c>
      <c r="E29" s="8" t="s">
        <v>84</v>
      </c>
      <c r="F29" s="8" t="s">
        <v>72</v>
      </c>
      <c r="G29" s="9" t="s">
        <v>454</v>
      </c>
    </row>
    <row r="30" customFormat="false" ht="15" hidden="false" customHeight="false" outlineLevel="0" collapsed="false">
      <c r="A30" s="8" t="s">
        <v>453</v>
      </c>
      <c r="B30" s="8" t="s">
        <v>103</v>
      </c>
      <c r="C30" s="8" t="s">
        <v>89</v>
      </c>
      <c r="D30" s="8" t="s">
        <v>118</v>
      </c>
      <c r="E30" s="8" t="s">
        <v>91</v>
      </c>
      <c r="F30" s="8" t="s">
        <v>72</v>
      </c>
      <c r="G30" s="9" t="s">
        <v>454</v>
      </c>
    </row>
    <row r="31" customFormat="false" ht="15" hidden="false" customHeight="false" outlineLevel="0" collapsed="false">
      <c r="A31" s="8" t="s">
        <v>453</v>
      </c>
      <c r="B31" s="8" t="s">
        <v>115</v>
      </c>
      <c r="C31" s="8" t="s">
        <v>89</v>
      </c>
      <c r="D31" s="8" t="s">
        <v>90</v>
      </c>
      <c r="E31" s="8" t="s">
        <v>91</v>
      </c>
      <c r="F31" s="8" t="s">
        <v>72</v>
      </c>
      <c r="G31" s="9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2026-08-16T16:52:44Z</dcterms:created>
  <dc:creator>openpyxl</dc:creator>
  <dc:description/>
  <dc:language>en-US</dc:language>
  <cp:lastModifiedBy/>
  <dcterms:modified xsi:type="dcterms:W3CDTF">2026-08-16T16:52:44Z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